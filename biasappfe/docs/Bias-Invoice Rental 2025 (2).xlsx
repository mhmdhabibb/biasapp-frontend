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5. 2025\"/>
    </mc:Choice>
  </mc:AlternateContent>
  <xr:revisionPtr revIDLastSave="0" documentId="13_ncr:1_{6EBD4568-CD6B-4A2F-977B-60CC8D78203F}" xr6:coauthVersionLast="47" xr6:coauthVersionMax="47" xr10:uidLastSave="{00000000-0000-0000-0000-000000000000}"/>
  <bookViews>
    <workbookView xWindow="-110" yWindow="-110" windowWidth="19420" windowHeight="10420" tabRatio="1000" activeTab="3" xr2:uid="{00000000-000D-0000-FFFF-FFFF00000000}"/>
  </bookViews>
  <sheets>
    <sheet name="Invoice Bag. Umum" sheetId="3" r:id="rId1"/>
    <sheet name="Invoice Setdako" sheetId="4" r:id="rId2"/>
    <sheet name="INVOICE RENTAL PT. BARELANG RIA" sheetId="1" r:id="rId3"/>
    <sheet name="Invoice Atlas Copco" sheetId="5" r:id="rId4"/>
    <sheet name="Great Eastern General Insura" sheetId="6" r:id="rId5"/>
    <sheet name="Meterading 2025" sheetId="2" r:id="rId6"/>
  </sheets>
  <externalReferences>
    <externalReference r:id="rId7"/>
  </externalReferences>
  <definedNames>
    <definedName name="_xlnm.Print_Area" localSheetId="4">'Great Eastern General Insura'!$A$1:$E$44</definedName>
    <definedName name="_xlnm.Print_Area" localSheetId="3">'Invoice Atlas Copco'!$A$1:$E$54</definedName>
    <definedName name="_xlnm.Print_Area" localSheetId="0">'Invoice Bag. Umum'!$A$1:$E$40</definedName>
    <definedName name="_xlnm.Print_Area" localSheetId="2">'INVOICE RENTAL PT. BARELANG RIA'!$A$1:$E$33</definedName>
    <definedName name="_xlnm.Print_Area" localSheetId="1">'Invoice Setdako'!$A$1:$E$41</definedName>
    <definedName name="_xlnm.Print_Area" localSheetId="5">'Meterading 2025'!$A$76:$T$94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6" l="1"/>
  <c r="H14" i="6" s="1"/>
  <c r="J55" i="6"/>
  <c r="J54" i="6"/>
  <c r="C22" i="5"/>
  <c r="C21" i="5"/>
  <c r="C16" i="5"/>
  <c r="C15" i="5"/>
  <c r="G74" i="2"/>
  <c r="H74" i="2" s="1"/>
  <c r="F74" i="2"/>
  <c r="C74" i="2"/>
  <c r="B74" i="2"/>
  <c r="C93" i="2"/>
  <c r="B93" i="2"/>
  <c r="E28" i="6"/>
  <c r="E31" i="6" s="1"/>
  <c r="C23" i="6"/>
  <c r="C25" i="6" s="1"/>
  <c r="C17" i="6"/>
  <c r="C19" i="6" s="1"/>
  <c r="J9" i="6"/>
  <c r="N14" i="6" s="1"/>
  <c r="C35" i="5"/>
  <c r="E39" i="5" s="1"/>
  <c r="C29" i="5"/>
  <c r="C23" i="5"/>
  <c r="C25" i="5" s="1"/>
  <c r="E37" i="5" s="1"/>
  <c r="E40" i="5" s="1"/>
  <c r="E42" i="5" s="1"/>
  <c r="C17" i="5"/>
  <c r="C19" i="5" s="1"/>
  <c r="C16" i="1"/>
  <c r="C15" i="1"/>
  <c r="D54" i="2"/>
  <c r="B54" i="2"/>
  <c r="E20" i="1"/>
  <c r="E21" i="1" s="1"/>
  <c r="E23" i="1" s="1"/>
  <c r="G73" i="2"/>
  <c r="C77" i="5" s="1"/>
  <c r="C73" i="2"/>
  <c r="C71" i="5" s="1"/>
  <c r="C20" i="4"/>
  <c r="C21" i="4" s="1"/>
  <c r="C23" i="4" s="1"/>
  <c r="E26" i="4" s="1"/>
  <c r="C19" i="4"/>
  <c r="C16" i="4"/>
  <c r="C15" i="4"/>
  <c r="C19" i="3"/>
  <c r="C18" i="3"/>
  <c r="C15" i="3"/>
  <c r="C14" i="3"/>
  <c r="F17" i="2"/>
  <c r="B17" i="2"/>
  <c r="F36" i="2"/>
  <c r="B36" i="2"/>
  <c r="C76" i="5"/>
  <c r="C70" i="5"/>
  <c r="L14" i="6" l="1"/>
  <c r="O14" i="6" s="1"/>
  <c r="H15" i="6"/>
  <c r="L15" i="6" s="1"/>
  <c r="C17" i="1"/>
  <c r="C17" i="4"/>
  <c r="E25" i="4" s="1"/>
  <c r="E27" i="4" s="1"/>
  <c r="E29" i="4" s="1"/>
  <c r="C20" i="3"/>
  <c r="C22" i="3" s="1"/>
  <c r="E25" i="3" s="1"/>
  <c r="C16" i="3"/>
  <c r="E24" i="3" s="1"/>
  <c r="H73" i="2"/>
  <c r="F73" i="2"/>
  <c r="B73" i="2"/>
  <c r="E26" i="3" l="1"/>
  <c r="E28" i="3" s="1"/>
  <c r="C90" i="5"/>
  <c r="E94" i="5" s="1"/>
  <c r="C84" i="5"/>
  <c r="C72" i="5" l="1"/>
  <c r="C74" i="5" s="1"/>
  <c r="C78" i="5"/>
  <c r="C80" i="5" s="1"/>
  <c r="E92" i="5" s="1"/>
  <c r="E95" i="5" s="1"/>
  <c r="E97" i="5" s="1"/>
  <c r="C50" i="1" l="1"/>
  <c r="C49" i="1"/>
  <c r="C62" i="4"/>
  <c r="C61" i="4"/>
  <c r="C58" i="4"/>
  <c r="C57" i="4"/>
  <c r="C60" i="3"/>
  <c r="C59" i="3"/>
  <c r="C56" i="3"/>
  <c r="C55" i="3"/>
  <c r="D53" i="2"/>
  <c r="B53" i="2"/>
  <c r="F35" i="2"/>
  <c r="B35" i="2"/>
  <c r="F16" i="2"/>
  <c r="B16" i="2"/>
  <c r="E73" i="6"/>
  <c r="E76" i="6" s="1"/>
  <c r="C68" i="6"/>
  <c r="C70" i="6" s="1"/>
  <c r="C62" i="6"/>
  <c r="C64" i="6" s="1"/>
  <c r="C145" i="5"/>
  <c r="E149" i="5" s="1"/>
  <c r="C139" i="5"/>
  <c r="C132" i="5"/>
  <c r="C131" i="5"/>
  <c r="C126" i="5"/>
  <c r="C125" i="5"/>
  <c r="C106" i="6"/>
  <c r="C105" i="6"/>
  <c r="C133" i="5" l="1"/>
  <c r="C135" i="5" s="1"/>
  <c r="E147" i="5" s="1"/>
  <c r="E150" i="5" s="1"/>
  <c r="E152" i="5" s="1"/>
  <c r="C51" i="1"/>
  <c r="E54" i="1" s="1"/>
  <c r="E55" i="1" s="1"/>
  <c r="E57" i="1" s="1"/>
  <c r="C63" i="4"/>
  <c r="C65" i="4" s="1"/>
  <c r="E68" i="4" s="1"/>
  <c r="C59" i="4"/>
  <c r="E67" i="4" s="1"/>
  <c r="C61" i="3"/>
  <c r="C63" i="3" s="1"/>
  <c r="E66" i="3" s="1"/>
  <c r="C57" i="3"/>
  <c r="E65" i="3" s="1"/>
  <c r="C127" i="5"/>
  <c r="C129" i="5" s="1"/>
  <c r="J244" i="5"/>
  <c r="J243" i="5"/>
  <c r="E69" i="4" l="1"/>
  <c r="E71" i="4" s="1"/>
  <c r="E67" i="3"/>
  <c r="E69" i="3" s="1"/>
  <c r="M162" i="6"/>
  <c r="M161" i="6"/>
  <c r="M91" i="2"/>
  <c r="S91" i="2"/>
  <c r="O91" i="2"/>
  <c r="I157" i="6"/>
  <c r="I156" i="6"/>
  <c r="O156" i="6" s="1"/>
  <c r="C156" i="6"/>
  <c r="J100" i="6" l="1"/>
  <c r="J99" i="6"/>
  <c r="N104" i="6" s="1"/>
  <c r="C113" i="6"/>
  <c r="H104" i="6" l="1"/>
  <c r="L100" i="6"/>
  <c r="L104" i="6"/>
  <c r="H105" i="6"/>
  <c r="L105" i="6" s="1"/>
  <c r="C115" i="6"/>
  <c r="H59" i="6"/>
  <c r="O104" i="6"/>
  <c r="C107" i="6" s="1"/>
  <c r="E118" i="6"/>
  <c r="E121" i="6" s="1"/>
  <c r="C109" i="6" l="1"/>
  <c r="N59" i="6"/>
  <c r="L59" i="6"/>
  <c r="H60" i="6"/>
  <c r="L60" i="6" s="1"/>
  <c r="H92" i="2"/>
  <c r="D92" i="2"/>
  <c r="F92" i="2"/>
  <c r="B92" i="2"/>
  <c r="B72" i="2"/>
  <c r="C180" i="5" s="1"/>
  <c r="C187" i="5"/>
  <c r="C181" i="5"/>
  <c r="F72" i="2"/>
  <c r="C186" i="5" s="1"/>
  <c r="C84" i="1"/>
  <c r="C104" i="4"/>
  <c r="C100" i="4"/>
  <c r="C101" i="3"/>
  <c r="C97" i="3"/>
  <c r="O59" i="6" l="1"/>
  <c r="D72" i="2"/>
  <c r="H72" i="2"/>
  <c r="C188" i="5"/>
  <c r="C190" i="5" s="1"/>
  <c r="E202" i="5" s="1"/>
  <c r="C182" i="5"/>
  <c r="C184" i="5" s="1"/>
  <c r="C200" i="5"/>
  <c r="E204" i="5" s="1"/>
  <c r="C194" i="5"/>
  <c r="C102" i="3"/>
  <c r="C104" i="3" s="1"/>
  <c r="E107" i="3" s="1"/>
  <c r="D52" i="2"/>
  <c r="B52" i="2"/>
  <c r="C83" i="1" s="1"/>
  <c r="C85" i="1" s="1"/>
  <c r="C87" i="1" s="1"/>
  <c r="E88" i="1" s="1"/>
  <c r="F34" i="2"/>
  <c r="C103" i="4" s="1"/>
  <c r="B34" i="2"/>
  <c r="C99" i="4" s="1"/>
  <c r="C101" i="4" s="1"/>
  <c r="E109" i="4" s="1"/>
  <c r="F15" i="2"/>
  <c r="C100" i="3" s="1"/>
  <c r="B15" i="2"/>
  <c r="C96" i="3" s="1"/>
  <c r="C98" i="3" s="1"/>
  <c r="E106" i="3" s="1"/>
  <c r="E89" i="1" l="1"/>
  <c r="E91" i="1" s="1"/>
  <c r="F92" i="1" s="1"/>
  <c r="F93" i="1" s="1"/>
  <c r="E205" i="5"/>
  <c r="E207" i="5" s="1"/>
  <c r="E108" i="3"/>
  <c r="E110" i="3" s="1"/>
  <c r="C105" i="4"/>
  <c r="C107" i="4" s="1"/>
  <c r="E110" i="4" s="1"/>
  <c r="E111" i="4" s="1"/>
  <c r="E113" i="4" s="1"/>
  <c r="C150" i="6"/>
  <c r="H91" i="2"/>
  <c r="D91" i="2"/>
  <c r="F71" i="2"/>
  <c r="B71" i="2"/>
  <c r="H70" i="2"/>
  <c r="D70" i="2"/>
  <c r="H66" i="2"/>
  <c r="H67" i="2"/>
  <c r="H68" i="2"/>
  <c r="H69" i="2"/>
  <c r="D66" i="2"/>
  <c r="D67" i="2"/>
  <c r="D68" i="2"/>
  <c r="D69" i="2"/>
  <c r="D73" i="2"/>
  <c r="D74" i="2"/>
  <c r="C255" i="5"/>
  <c r="E259" i="5" s="1"/>
  <c r="C249" i="5"/>
  <c r="C118" i="1"/>
  <c r="C146" i="4"/>
  <c r="C142" i="4"/>
  <c r="C141" i="3"/>
  <c r="C137" i="3"/>
  <c r="E123" i="1"/>
  <c r="E125" i="1" s="1"/>
  <c r="B51" i="2"/>
  <c r="D51" i="2" s="1"/>
  <c r="F33" i="2"/>
  <c r="C145" i="4" s="1"/>
  <c r="B33" i="2"/>
  <c r="D33" i="2" s="1"/>
  <c r="F14" i="2"/>
  <c r="H14" i="2" s="1"/>
  <c r="B14" i="2"/>
  <c r="C136" i="3" s="1"/>
  <c r="C152" i="1"/>
  <c r="C188" i="4"/>
  <c r="C187" i="4"/>
  <c r="C184" i="4"/>
  <c r="C182" i="3"/>
  <c r="C178" i="3"/>
  <c r="C177" i="3"/>
  <c r="B50" i="2"/>
  <c r="D50" i="2" s="1"/>
  <c r="F32" i="2"/>
  <c r="B32" i="2"/>
  <c r="D32" i="2" s="1"/>
  <c r="F13" i="2"/>
  <c r="H13" i="2" s="1"/>
  <c r="B13" i="2"/>
  <c r="D13" i="2" s="1"/>
  <c r="E157" i="1"/>
  <c r="E159" i="1" s="1"/>
  <c r="C230" i="4"/>
  <c r="C226" i="4"/>
  <c r="C186" i="1"/>
  <c r="C185" i="1"/>
  <c r="C223" i="3"/>
  <c r="C219" i="3"/>
  <c r="C218" i="3"/>
  <c r="E191" i="1"/>
  <c r="E193" i="1" s="1"/>
  <c r="B49" i="2"/>
  <c r="D49" i="2" s="1"/>
  <c r="F31" i="2"/>
  <c r="H31" i="2" s="1"/>
  <c r="B31" i="2"/>
  <c r="D31" i="2" s="1"/>
  <c r="F12" i="2"/>
  <c r="H12" i="2" s="1"/>
  <c r="B12" i="2"/>
  <c r="D12" i="2" s="1"/>
  <c r="C217" i="1"/>
  <c r="C216" i="1"/>
  <c r="C272" i="4"/>
  <c r="C268" i="4"/>
  <c r="C264" i="3"/>
  <c r="C260" i="3"/>
  <c r="C259" i="3"/>
  <c r="E222" i="1"/>
  <c r="E224" i="1" s="1"/>
  <c r="B48" i="2"/>
  <c r="F30" i="2"/>
  <c r="H30" i="2" s="1"/>
  <c r="B30" i="2"/>
  <c r="D30" i="2" s="1"/>
  <c r="F11" i="2"/>
  <c r="C271" i="4" s="1"/>
  <c r="B11" i="2"/>
  <c r="D11" i="2" s="1"/>
  <c r="C248" i="1"/>
  <c r="C314" i="4"/>
  <c r="C310" i="4"/>
  <c r="C305" i="3"/>
  <c r="C301" i="3"/>
  <c r="E253" i="1"/>
  <c r="E255" i="1" s="1"/>
  <c r="B47" i="2"/>
  <c r="C247" i="1" s="1"/>
  <c r="F29" i="2"/>
  <c r="H29" i="2" s="1"/>
  <c r="B29" i="2"/>
  <c r="D29" i="2" s="1"/>
  <c r="F10" i="2"/>
  <c r="H10" i="2" s="1"/>
  <c r="B10" i="2"/>
  <c r="D10" i="2" s="1"/>
  <c r="C279" i="1"/>
  <c r="B46" i="2"/>
  <c r="D46" i="2" s="1"/>
  <c r="E284" i="1"/>
  <c r="E286" i="1" s="1"/>
  <c r="C356" i="4"/>
  <c r="C355" i="4"/>
  <c r="C352" i="4"/>
  <c r="C346" i="3"/>
  <c r="C342" i="3"/>
  <c r="E312" i="5"/>
  <c r="C311" i="5"/>
  <c r="E315" i="5" s="1"/>
  <c r="C305" i="5"/>
  <c r="C299" i="5"/>
  <c r="C301" i="5" s="1"/>
  <c r="E313" i="5" s="1"/>
  <c r="C293" i="5"/>
  <c r="C306" i="5" s="1"/>
  <c r="E315" i="1"/>
  <c r="E317" i="1" s="1"/>
  <c r="C310" i="1"/>
  <c r="C309" i="1"/>
  <c r="F28" i="2"/>
  <c r="H28" i="2" s="1"/>
  <c r="B28" i="2"/>
  <c r="D28" i="2" s="1"/>
  <c r="F9" i="2"/>
  <c r="H9" i="2" s="1"/>
  <c r="B9" i="2"/>
  <c r="D9" i="2" s="1"/>
  <c r="H65" i="2"/>
  <c r="D65" i="2"/>
  <c r="C397" i="4"/>
  <c r="C393" i="4"/>
  <c r="C387" i="3"/>
  <c r="C383" i="3"/>
  <c r="F27" i="2"/>
  <c r="H27" i="2" s="1"/>
  <c r="B27" i="2"/>
  <c r="C392" i="4" s="1"/>
  <c r="F8" i="2"/>
  <c r="H8" i="2" s="1"/>
  <c r="B8" i="2"/>
  <c r="D8" i="2" s="1"/>
  <c r="C341" i="1"/>
  <c r="D44" i="2"/>
  <c r="E368" i="5"/>
  <c r="C367" i="5"/>
  <c r="E371" i="5" s="1"/>
  <c r="C361" i="5"/>
  <c r="C355" i="5"/>
  <c r="C357" i="5" s="1"/>
  <c r="E369" i="5" s="1"/>
  <c r="C349" i="5"/>
  <c r="C362" i="5" s="1"/>
  <c r="E346" i="1"/>
  <c r="E348" i="1" s="1"/>
  <c r="H64" i="2"/>
  <c r="D64" i="2"/>
  <c r="C438" i="4"/>
  <c r="C434" i="4"/>
  <c r="C428" i="3"/>
  <c r="C424" i="3"/>
  <c r="E409" i="1"/>
  <c r="E411" i="1" s="1"/>
  <c r="C405" i="1"/>
  <c r="C407" i="1" s="1"/>
  <c r="D34" i="2"/>
  <c r="D35" i="2"/>
  <c r="D36" i="2"/>
  <c r="H32" i="2"/>
  <c r="H33" i="2"/>
  <c r="H34" i="2"/>
  <c r="H35" i="2"/>
  <c r="H36" i="2"/>
  <c r="F26" i="2"/>
  <c r="C437" i="4" s="1"/>
  <c r="B26" i="2"/>
  <c r="D26" i="2" s="1"/>
  <c r="D14" i="2"/>
  <c r="D15" i="2"/>
  <c r="D16" i="2"/>
  <c r="D17" i="2"/>
  <c r="H11" i="2"/>
  <c r="H15" i="2"/>
  <c r="H16" i="2"/>
  <c r="H17" i="2"/>
  <c r="F7" i="2"/>
  <c r="H7" i="2" s="1"/>
  <c r="B7" i="2"/>
  <c r="C423" i="3" s="1"/>
  <c r="C341" i="3" l="1"/>
  <c r="C309" i="4"/>
  <c r="D71" i="2"/>
  <c r="C235" i="5"/>
  <c r="C396" i="4"/>
  <c r="D48" i="2"/>
  <c r="H71" i="2"/>
  <c r="C241" i="5"/>
  <c r="C152" i="6"/>
  <c r="C154" i="6" s="1"/>
  <c r="C158" i="6"/>
  <c r="C160" i="6" s="1"/>
  <c r="C140" i="3"/>
  <c r="C142" i="3" s="1"/>
  <c r="C144" i="3" s="1"/>
  <c r="E147" i="3" s="1"/>
  <c r="C304" i="3"/>
  <c r="C306" i="3" s="1"/>
  <c r="C308" i="3" s="1"/>
  <c r="E311" i="3" s="1"/>
  <c r="C229" i="4"/>
  <c r="C231" i="4" s="1"/>
  <c r="C233" i="4" s="1"/>
  <c r="E236" i="4" s="1"/>
  <c r="C183" i="4"/>
  <c r="C185" i="4" s="1"/>
  <c r="E193" i="4" s="1"/>
  <c r="C263" i="3"/>
  <c r="C265" i="3" s="1"/>
  <c r="C267" i="3" s="1"/>
  <c r="E270" i="3" s="1"/>
  <c r="C141" i="4"/>
  <c r="C143" i="4" s="1"/>
  <c r="E151" i="4" s="1"/>
  <c r="C222" i="3"/>
  <c r="C224" i="3" s="1"/>
  <c r="C226" i="3" s="1"/>
  <c r="E229" i="3" s="1"/>
  <c r="C345" i="3"/>
  <c r="C347" i="3" s="1"/>
  <c r="C349" i="3" s="1"/>
  <c r="E352" i="3" s="1"/>
  <c r="D47" i="2"/>
  <c r="C313" i="4"/>
  <c r="C315" i="4" s="1"/>
  <c r="C317" i="4" s="1"/>
  <c r="E320" i="4" s="1"/>
  <c r="C151" i="1"/>
  <c r="C153" i="1" s="1"/>
  <c r="C155" i="1" s="1"/>
  <c r="C427" i="3"/>
  <c r="C429" i="3" s="1"/>
  <c r="C431" i="3" s="1"/>
  <c r="E434" i="3" s="1"/>
  <c r="C278" i="1"/>
  <c r="C280" i="1" s="1"/>
  <c r="C282" i="1" s="1"/>
  <c r="C117" i="1"/>
  <c r="C119" i="1" s="1"/>
  <c r="C121" i="1" s="1"/>
  <c r="C267" i="4"/>
  <c r="D7" i="2"/>
  <c r="C351" i="4"/>
  <c r="C353" i="4" s="1"/>
  <c r="E361" i="4" s="1"/>
  <c r="C300" i="3"/>
  <c r="C302" i="3" s="1"/>
  <c r="E310" i="3" s="1"/>
  <c r="C225" i="4"/>
  <c r="C227" i="4" s="1"/>
  <c r="E235" i="4" s="1"/>
  <c r="C181" i="3"/>
  <c r="C183" i="3" s="1"/>
  <c r="C185" i="3" s="1"/>
  <c r="E188" i="3" s="1"/>
  <c r="E189" i="3" s="1"/>
  <c r="E191" i="3" s="1"/>
  <c r="C147" i="4"/>
  <c r="C149" i="4" s="1"/>
  <c r="E152" i="4" s="1"/>
  <c r="C179" i="3"/>
  <c r="E187" i="3" s="1"/>
  <c r="C138" i="3"/>
  <c r="C189" i="4"/>
  <c r="C191" i="4" s="1"/>
  <c r="E194" i="4" s="1"/>
  <c r="C220" i="3"/>
  <c r="E228" i="3" s="1"/>
  <c r="C187" i="1"/>
  <c r="C189" i="1" s="1"/>
  <c r="C218" i="1"/>
  <c r="C220" i="1" s="1"/>
  <c r="C269" i="4"/>
  <c r="E277" i="4" s="1"/>
  <c r="C273" i="4"/>
  <c r="C275" i="4" s="1"/>
  <c r="E278" i="4" s="1"/>
  <c r="C261" i="3"/>
  <c r="E269" i="3" s="1"/>
  <c r="C249" i="1"/>
  <c r="C251" i="1" s="1"/>
  <c r="C311" i="4"/>
  <c r="E319" i="4" s="1"/>
  <c r="C311" i="1"/>
  <c r="C313" i="1" s="1"/>
  <c r="C357" i="4"/>
  <c r="C359" i="4" s="1"/>
  <c r="E362" i="4" s="1"/>
  <c r="C343" i="3"/>
  <c r="E351" i="3" s="1"/>
  <c r="E372" i="5"/>
  <c r="E374" i="5" s="1"/>
  <c r="E316" i="5"/>
  <c r="E318" i="5" s="1"/>
  <c r="C394" i="4"/>
  <c r="E402" i="4" s="1"/>
  <c r="C386" i="3"/>
  <c r="C388" i="3" s="1"/>
  <c r="C390" i="3" s="1"/>
  <c r="E393" i="3" s="1"/>
  <c r="H26" i="2"/>
  <c r="D27" i="2"/>
  <c r="C433" i="4"/>
  <c r="C435" i="4" s="1"/>
  <c r="E443" i="4" s="1"/>
  <c r="C382" i="3"/>
  <c r="C384" i="3" s="1"/>
  <c r="E392" i="3" s="1"/>
  <c r="C398" i="4"/>
  <c r="C400" i="4" s="1"/>
  <c r="E403" i="4" s="1"/>
  <c r="B45" i="2"/>
  <c r="C425" i="3"/>
  <c r="E433" i="3" s="1"/>
  <c r="C439" i="4"/>
  <c r="C441" i="4" s="1"/>
  <c r="E444" i="4" s="1"/>
  <c r="C243" i="5" l="1"/>
  <c r="C245" i="5" s="1"/>
  <c r="E257" i="5" s="1"/>
  <c r="I244" i="5"/>
  <c r="K244" i="5" s="1"/>
  <c r="I248" i="5" s="1"/>
  <c r="C237" i="5"/>
  <c r="C239" i="5" s="1"/>
  <c r="E256" i="5" s="1"/>
  <c r="E260" i="5" s="1"/>
  <c r="E262" i="5" s="1"/>
  <c r="I243" i="5"/>
  <c r="K243" i="5" s="1"/>
  <c r="O248" i="5" s="1"/>
  <c r="E163" i="6"/>
  <c r="E146" i="3"/>
  <c r="E148" i="3" s="1"/>
  <c r="E150" i="3" s="1"/>
  <c r="E153" i="4"/>
  <c r="E155" i="4" s="1"/>
  <c r="E195" i="4"/>
  <c r="E197" i="4" s="1"/>
  <c r="E237" i="4"/>
  <c r="E239" i="4" s="1"/>
  <c r="E230" i="3"/>
  <c r="E232" i="3" s="1"/>
  <c r="E279" i="4"/>
  <c r="E281" i="4" s="1"/>
  <c r="E271" i="3"/>
  <c r="E273" i="3" s="1"/>
  <c r="E312" i="3"/>
  <c r="E314" i="3" s="1"/>
  <c r="E321" i="4"/>
  <c r="E323" i="4" s="1"/>
  <c r="E353" i="3"/>
  <c r="E355" i="3" s="1"/>
  <c r="E363" i="4"/>
  <c r="E365" i="4" s="1"/>
  <c r="D45" i="2"/>
  <c r="C340" i="1"/>
  <c r="C342" i="1" s="1"/>
  <c r="C344" i="1" s="1"/>
  <c r="E394" i="3"/>
  <c r="E396" i="3" s="1"/>
  <c r="E404" i="4"/>
  <c r="E406" i="4" s="1"/>
  <c r="E445" i="4"/>
  <c r="E447" i="4" s="1"/>
  <c r="E435" i="3"/>
  <c r="E437" i="3" s="1"/>
  <c r="I249" i="5" l="1"/>
  <c r="M249" i="5" s="1"/>
  <c r="M248" i="5"/>
  <c r="P248" i="5" s="1"/>
  <c r="E166" i="6"/>
  <c r="D63" i="2"/>
  <c r="H6" i="2"/>
  <c r="D6" i="2"/>
  <c r="E377" i="1"/>
  <c r="D43" i="2"/>
  <c r="H25" i="2"/>
  <c r="D25" i="2"/>
  <c r="E424" i="5" l="1"/>
  <c r="C405" i="5"/>
  <c r="C418" i="5" s="1"/>
  <c r="C411" i="5"/>
  <c r="C423" i="5"/>
  <c r="E427" i="5" s="1"/>
  <c r="C417" i="5"/>
  <c r="H63" i="2"/>
  <c r="C373" i="1"/>
  <c r="C375" i="1" s="1"/>
  <c r="E379" i="1" s="1"/>
  <c r="C680" i="1"/>
  <c r="C682" i="1" s="1"/>
  <c r="E683" i="1" s="1"/>
  <c r="E684" i="1" s="1"/>
  <c r="E686" i="1" s="1"/>
  <c r="C413" i="5" l="1"/>
  <c r="E425" i="5" s="1"/>
  <c r="E428" i="5" s="1"/>
  <c r="E430" i="5" s="1"/>
  <c r="C466" i="3"/>
  <c r="E474" i="3" s="1"/>
  <c r="C480" i="4"/>
  <c r="C476" i="4"/>
  <c r="E484" i="4" l="1"/>
  <c r="E486" i="4" s="1"/>
  <c r="E488" i="4" s="1"/>
  <c r="C470" i="3"/>
  <c r="C472" i="3" s="1"/>
  <c r="E475" i="3" s="1"/>
  <c r="E476" i="3" l="1"/>
  <c r="E478" i="3" s="1"/>
</calcChain>
</file>

<file path=xl/sharedStrings.xml><?xml version="1.0" encoding="utf-8"?>
<sst xmlns="http://schemas.openxmlformats.org/spreadsheetml/2006/main" count="2909" uniqueCount="202">
  <si>
    <t>Inv No. :</t>
  </si>
  <si>
    <t>PT. BiAS SURYA TEKNOLOGI</t>
  </si>
  <si>
    <t>Date :</t>
  </si>
  <si>
    <t>Ruko Puri Mas I Blok A No. 40 Batam Kota</t>
  </si>
  <si>
    <t xml:space="preserve">Kepada Yth. </t>
  </si>
  <si>
    <t>Batam centre - Batam</t>
  </si>
  <si>
    <t>PT. BARELANG RIAU JAYA</t>
  </si>
  <si>
    <t>Tel : 0811 7045 657</t>
  </si>
  <si>
    <t>Kompleks Union Industrial Park Blok G no 7</t>
  </si>
  <si>
    <t xml:space="preserve">Fax: </t>
  </si>
  <si>
    <t>Jl.Yos Sudarso-Batu Ampar- Batam</t>
  </si>
  <si>
    <t>Email : admin@biasbst.com</t>
  </si>
  <si>
    <t>PIC. Ibu Heny - 0813 7220 0566</t>
  </si>
  <si>
    <t>Periode : Januari 2022</t>
  </si>
  <si>
    <t>No</t>
  </si>
  <si>
    <t>Description</t>
  </si>
  <si>
    <t>Amount</t>
  </si>
  <si>
    <t>Rental Charges Mesin Kyocera Ecosys M2640 idw (VY91603662) 1 Unit</t>
  </si>
  <si>
    <t>New Meter Reading</t>
  </si>
  <si>
    <t>Last Meter Reading</t>
  </si>
  <si>
    <t>(-)</t>
  </si>
  <si>
    <t>Total Copies</t>
  </si>
  <si>
    <t>Free Copies</t>
  </si>
  <si>
    <t xml:space="preserve">Copies Charges B/W </t>
  </si>
  <si>
    <t>(x)</t>
  </si>
  <si>
    <t>TOTAL</t>
  </si>
  <si>
    <t>Pembayaran Transfer ke rekening :</t>
  </si>
  <si>
    <t>TAX</t>
  </si>
  <si>
    <t>BANK MANDIRI CABANG BATAM</t>
  </si>
  <si>
    <t xml:space="preserve">TOTAL PAY </t>
  </si>
  <si>
    <t>Rek No. 109-00-3388575-7</t>
  </si>
  <si>
    <t>A/N : PT. BIAS SURYA TEKNOLOGI</t>
  </si>
  <si>
    <t>NPWP : 94.183.950.8-225.000</t>
  </si>
  <si>
    <t>Received By,</t>
  </si>
  <si>
    <t>_______________________</t>
  </si>
  <si>
    <t>________________________</t>
  </si>
  <si>
    <t xml:space="preserve">              Admin Finance</t>
  </si>
  <si>
    <t xml:space="preserve">Bagian Umum Setdako Batam </t>
  </si>
  <si>
    <t xml:space="preserve">Jl. Engku Putri No. 1 Tlk. Tering </t>
  </si>
  <si>
    <t xml:space="preserve">Kec.  Batam Kota Kota Batam </t>
  </si>
  <si>
    <t>PIC. Bapak Firdaus  - 0853 76200022</t>
  </si>
  <si>
    <t xml:space="preserve">B/W </t>
  </si>
  <si>
    <t>Colour</t>
  </si>
  <si>
    <t>Copies Charges Colour</t>
  </si>
  <si>
    <t>Colour Inject (X6G001418) 1 Unit</t>
  </si>
  <si>
    <t>PT. BIAS SURYA TEKNOLOGI</t>
  </si>
  <si>
    <t>NPWP : 94.183.950.8.225.000</t>
  </si>
  <si>
    <t xml:space="preserve">Rental Charges Ruangan Bag. Umum  Epson Workforce Pro WF-C878R </t>
  </si>
  <si>
    <t>Colour Inject (X6G001409) 1 Unit</t>
  </si>
  <si>
    <t xml:space="preserve">Rental Charges Ruangan Setdako Mesin Epson Workforce Pro WF-C878R </t>
  </si>
  <si>
    <t>Rental Charges Ruangan Bag. Umum  Epson Workforce Pro WF-C878R  Colour Inject (X6G001409) 1 Unit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</si>
  <si>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</si>
  <si>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</si>
  <si>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</si>
  <si>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</si>
  <si>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</si>
  <si>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</si>
  <si>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</si>
  <si>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</si>
  <si>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</si>
  <si>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</si>
  <si>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</si>
  <si>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</si>
  <si>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</si>
  <si>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Used</t>
  </si>
  <si>
    <t>Remarks</t>
  </si>
  <si>
    <t>B/W</t>
  </si>
  <si>
    <t>COLOUR</t>
  </si>
  <si>
    <t>START</t>
  </si>
  <si>
    <t>LAST</t>
  </si>
  <si>
    <t>Rental Charges Mesin Kyocera Ecosys M2640 idw (VY91603662) 1 Unit Barelang Riau Jaya</t>
  </si>
  <si>
    <t>h</t>
  </si>
  <si>
    <t>Rental Charges Ruangan Setdako  Mesin Epson Workforce Pro WF-C878R  Colour Inject (X6G001418) 1 Unit</t>
  </si>
  <si>
    <t xml:space="preserve"> </t>
  </si>
  <si>
    <t>Atlas Copco Indonesia - Cabang Batam</t>
  </si>
  <si>
    <t>Alamat: Kawasan Lytech Industrial Park, Jl. Engku Putri No.6, Belian, Kec. Batam Kota, Kota Batam, Kepulauan Riau 29400</t>
  </si>
  <si>
    <t>Rental Charges Mesin Fotocopy  Epson WF-C878R S/N : X6GD002742</t>
  </si>
  <si>
    <t>Batam Kota - Batam - Kepulauan Riau</t>
  </si>
  <si>
    <t>Telp : +62 811 7045 657</t>
  </si>
  <si>
    <t>www.biasbst.com</t>
  </si>
  <si>
    <t xml:space="preserve">BANK RIAU KEPRI SYARIAH CAB. BATAM </t>
  </si>
  <si>
    <t>Rek No. 1060885757</t>
  </si>
  <si>
    <t>B/W A4</t>
  </si>
  <si>
    <t>COLOUR A4</t>
  </si>
  <si>
    <t>Epson WF-C878R S/N : X6GD002742  1 Unit</t>
  </si>
  <si>
    <t>Rental Charges Mesin Fotocopy  PT. Atlas Copco Indonesia Batam</t>
  </si>
  <si>
    <t>Pusat Niaga Roxy Mas, Jl. Kh Hasyim Ashari No.9-12, RW.8, Cideng, Kecamatan Gambir, Kota Jakarta Pusat, Daerah Khusus Ibukota Jakarta 10150</t>
  </si>
  <si>
    <t>INVOICE</t>
  </si>
  <si>
    <t>Up</t>
  </si>
  <si>
    <t>Finance</t>
  </si>
  <si>
    <t>PT Elang Mandiri Solusi</t>
  </si>
  <si>
    <t>,</t>
  </si>
  <si>
    <t>Start Meter Reading</t>
  </si>
  <si>
    <t>Start  Meter Reading</t>
  </si>
  <si>
    <t>B/W A3</t>
  </si>
  <si>
    <t>INV24-R-202</t>
  </si>
  <si>
    <t>Colour A4</t>
  </si>
  <si>
    <t>Colour A3</t>
  </si>
  <si>
    <t>Copies Charges B/W  A4</t>
  </si>
  <si>
    <t>Copies Charges Colour A4</t>
  </si>
  <si>
    <t>Copies Charges B/W  A3</t>
  </si>
  <si>
    <t>Copies Charges Colour A3</t>
  </si>
  <si>
    <t xml:space="preserve">                       Admin Finance</t>
  </si>
  <si>
    <t>Meterading 2025</t>
  </si>
  <si>
    <t>Greenland Housing Blok E6 No. 11</t>
  </si>
  <si>
    <t>Periode : Januari 2025</t>
  </si>
  <si>
    <t>______________________</t>
  </si>
  <si>
    <t>INV25-R-249</t>
  </si>
  <si>
    <t>INV25-R-250</t>
  </si>
  <si>
    <t>INV25-R-251</t>
  </si>
  <si>
    <t>Periode : Februari  2025</t>
  </si>
  <si>
    <t>Periode :Februari  2025</t>
  </si>
  <si>
    <t>Periode : Februari 2025</t>
  </si>
  <si>
    <t>INV25-R-252</t>
  </si>
  <si>
    <t>INV25-R-253</t>
  </si>
  <si>
    <t>INV25-R-254</t>
  </si>
  <si>
    <t xml:space="preserve">Telp : +62 811 7045 657 </t>
  </si>
  <si>
    <t>Periode : February  2025</t>
  </si>
  <si>
    <t>INV25-R-256</t>
  </si>
  <si>
    <t>`</t>
  </si>
  <si>
    <t>INV25-R-257</t>
  </si>
  <si>
    <t>INV25-R-258</t>
  </si>
  <si>
    <t>INV25-R-259</t>
  </si>
  <si>
    <t>INV25-R-260</t>
  </si>
  <si>
    <t>Periode : March 2025</t>
  </si>
  <si>
    <t>Periode : April 2025</t>
  </si>
  <si>
    <t>INV25-R-261</t>
  </si>
  <si>
    <t>INV25-R-262</t>
  </si>
  <si>
    <t>INV25-R-263</t>
  </si>
  <si>
    <t>Periode : April  2025</t>
  </si>
  <si>
    <t>INV25-R-265</t>
  </si>
  <si>
    <t>INV25-R-266</t>
  </si>
  <si>
    <t>INV25-R-267</t>
  </si>
  <si>
    <t>Periode : May 2025</t>
  </si>
  <si>
    <t>Periode : June 2025</t>
  </si>
  <si>
    <t>INV25-R-269</t>
  </si>
  <si>
    <t>INV25-R-270</t>
  </si>
  <si>
    <t>INV25-R-271</t>
  </si>
  <si>
    <t>Periode : July  2025</t>
  </si>
  <si>
    <t>INV25-R-273</t>
  </si>
  <si>
    <t>INV25-R-274</t>
  </si>
  <si>
    <t>INV25-R-275</t>
  </si>
  <si>
    <t>NPWP : 0941.8395.0822.5000</t>
  </si>
  <si>
    <t>PIC. Bapak Halim - +62 813-7219-0091</t>
  </si>
  <si>
    <t>______Grace_________________</t>
  </si>
  <si>
    <t>INV25-R-277</t>
  </si>
  <si>
    <t>INV25-R-278</t>
  </si>
  <si>
    <t>INV25-R-279</t>
  </si>
  <si>
    <t>Periode : August  2025</t>
  </si>
  <si>
    <t>Grace Hutapea</t>
  </si>
  <si>
    <t>INV25-R-281</t>
  </si>
  <si>
    <t>INV25-R-282</t>
  </si>
  <si>
    <t>INV25-R-284</t>
  </si>
  <si>
    <t>Periode : September 2025</t>
  </si>
  <si>
    <t xml:space="preserve">                  Admin Finance</t>
  </si>
  <si>
    <t>Periode : September  2025</t>
  </si>
  <si>
    <t>INV25-R-285</t>
  </si>
  <si>
    <t>Rental Charges Mesin Fotocopy  Great Eastern General Insurance Batam</t>
  </si>
  <si>
    <t>Epson WorkForce Enterprise AM-C550  S/N : XBB9000164  1 Unit</t>
  </si>
  <si>
    <t>Great Eastern General Insurance - Cabang Batam</t>
  </si>
  <si>
    <t>Rental Charges Mesin Fotocopy  Epson WorkForce Enterprise AM-C550  S/N : XBB9000164</t>
  </si>
  <si>
    <t>0</t>
  </si>
  <si>
    <t xml:space="preserve">                           Admin Finance</t>
  </si>
  <si>
    <t>INV25-R-286</t>
  </si>
  <si>
    <t>INV25-R-287</t>
  </si>
  <si>
    <t>INV25-R-288</t>
  </si>
  <si>
    <t>INV25-R-289</t>
  </si>
  <si>
    <t>INV25-R-290</t>
  </si>
  <si>
    <t>Periode : October 2025</t>
  </si>
  <si>
    <t>COLOUR A3</t>
  </si>
  <si>
    <t>Admin Finance</t>
  </si>
  <si>
    <t>PPN</t>
  </si>
  <si>
    <t>D.P.P</t>
  </si>
  <si>
    <t>Periode : Oktober 2025</t>
  </si>
  <si>
    <t>contoh perhitungannya ya bu</t>
  </si>
  <si>
    <t>COUNTER AWAL</t>
  </si>
  <si>
    <t>COUNTER AKHIR</t>
  </si>
  <si>
    <t>PEMAKAIAN</t>
  </si>
  <si>
    <t>2233 x 88%</t>
  </si>
  <si>
    <t>4117 + 1965</t>
  </si>
  <si>
    <t>2233 x 12%</t>
  </si>
  <si>
    <t>ACTUAL</t>
  </si>
  <si>
    <t>80% DAN 20%</t>
  </si>
  <si>
    <t>x</t>
  </si>
  <si>
    <t>=</t>
  </si>
  <si>
    <t>BW</t>
  </si>
  <si>
    <t>CPLOUR</t>
  </si>
  <si>
    <t>+</t>
  </si>
  <si>
    <t>CL</t>
  </si>
  <si>
    <t>INV25-R-291</t>
  </si>
  <si>
    <t>INV25-R-292</t>
  </si>
  <si>
    <t>INV25-R-293</t>
  </si>
  <si>
    <t>INV25-R-294</t>
  </si>
  <si>
    <t>INV25-R-295</t>
  </si>
  <si>
    <t>Periode : November  2025</t>
  </si>
  <si>
    <t>Periode : December  2025</t>
  </si>
  <si>
    <t>INV25-R-296</t>
  </si>
  <si>
    <t>INV25-R-297</t>
  </si>
  <si>
    <t>Periode : December 2025</t>
  </si>
  <si>
    <t>INV26-R-298</t>
  </si>
  <si>
    <t>INV25-R-299</t>
  </si>
  <si>
    <t>INV25-R-300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</si>
</sst>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p&quot;* #,##0.00_-;\-&quot;Rp&quot;* #,##0.00_-;_-&quot;Rp&quot;* &quot;-&quot;??_-;_-@_-"/>
    <numFmt numFmtId="164" formatCode="_(* #,##0.00_);_(* \(#,##0.00\);_(* &quot;-&quot;??_);_(@_)"/>
    <numFmt numFmtId="165" formatCode="_(&quot;Rp&quot;* #,##0_);_(&quot;Rp&quot;* \(#,##0\);_(&quot;Rp&quot;* &quot;-&quot;_);_(@_)"/>
    <numFmt numFmtId="166" formatCode="_([$Rp-421]* #,##0_);_([$Rp-421]* \(#,##0\);_([$Rp-421]* &quot;-&quot;_);_(@_)"/>
    <numFmt numFmtId="167" formatCode="[$-409]d\-mmm\-yy;@"/>
    <numFmt numFmtId="168" formatCode="_(* #,##0_);_(* \(#,##0\);_(* &quot;-&quot;??_);_(@_)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sz val="10"/>
      <color theme="1"/>
      <name val="Arial"/>
      <family val="2"/>
    </font>
    <font>
      <b/>
      <sz val="10"/>
      <color theme="1"/>
      <name val="Calibri Light"/>
      <family val="1"/>
      <scheme val="major"/>
    </font>
    <font>
      <sz val="10"/>
      <color theme="1"/>
      <name val="Calibri Light"/>
      <family val="1"/>
      <scheme val="major"/>
    </font>
    <font>
      <b/>
      <sz val="12"/>
      <color theme="4"/>
      <name val="Calibri Light"/>
      <family val="1"/>
      <scheme val="major"/>
    </font>
    <font>
      <b/>
      <sz val="10"/>
      <color theme="4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9"/>
      <color theme="1"/>
      <name val="Calibri Light"/>
      <family val="1"/>
      <scheme val="major"/>
    </font>
    <font>
      <b/>
      <sz val="11"/>
      <color theme="1"/>
      <name val="Times New Roman"/>
      <family val="1"/>
    </font>
    <font>
      <b/>
      <sz val="10"/>
      <color theme="1"/>
      <name val="Arial"/>
      <family val="2"/>
    </font>
    <font>
      <b/>
      <i/>
      <sz val="9"/>
      <color theme="1"/>
      <name val="Calibri"/>
      <family val="2"/>
      <scheme val="minor"/>
    </font>
    <font>
      <b/>
      <sz val="11"/>
      <color theme="1"/>
      <name val="Agency FB"/>
      <family val="2"/>
    </font>
    <font>
      <sz val="11"/>
      <color theme="1"/>
      <name val="Agency FB"/>
      <family val="2"/>
    </font>
    <font>
      <u val="singleAccounting"/>
      <sz val="11"/>
      <color theme="1"/>
      <name val="Agency FB"/>
      <family val="2"/>
    </font>
    <font>
      <b/>
      <sz val="12"/>
      <color theme="1"/>
      <name val="Agency FB"/>
      <family val="2"/>
    </font>
    <font>
      <b/>
      <i/>
      <sz val="10"/>
      <color theme="1"/>
      <name val="Calibri Light"/>
      <family val="1"/>
      <scheme val="major"/>
    </font>
    <font>
      <i/>
      <sz val="10"/>
      <color theme="1"/>
      <name val="Calibri Light"/>
      <family val="1"/>
      <scheme val="maj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11"/>
      <color theme="1"/>
      <name val="Maiandra GD"/>
      <family val="2"/>
    </font>
    <font>
      <b/>
      <sz val="11"/>
      <color theme="1"/>
      <name val="Maiandra GD"/>
      <family val="2"/>
    </font>
    <font>
      <sz val="9"/>
      <color theme="1"/>
      <name val="Maiandra GD"/>
      <family val="2"/>
    </font>
    <font>
      <u/>
      <sz val="11"/>
      <color theme="10"/>
      <name val="Calibri"/>
      <family val="2"/>
      <scheme val="minor"/>
    </font>
    <font>
      <sz val="10"/>
      <color theme="1"/>
      <name val="Malgun Gothic"/>
      <family val="2"/>
    </font>
    <font>
      <b/>
      <sz val="20"/>
      <color theme="4"/>
      <name val="Agency FB"/>
      <family val="2"/>
    </font>
    <font>
      <b/>
      <sz val="11"/>
      <color theme="1"/>
      <name val="Arial Narrow"/>
      <family val="2"/>
    </font>
    <font>
      <b/>
      <sz val="10"/>
      <color theme="1"/>
      <name val="Malgun Gothic"/>
      <family val="2"/>
    </font>
    <font>
      <sz val="10"/>
      <color theme="1"/>
      <name val="Arial Narrow"/>
      <family val="2"/>
    </font>
    <font>
      <b/>
      <sz val="11"/>
      <color theme="1"/>
      <name val="Cambria"/>
      <family val="1"/>
    </font>
    <font>
      <b/>
      <sz val="24"/>
      <color theme="1"/>
      <name val="Berlin Sans FB Demi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8"/>
      <name val="Calibri"/>
      <family val="2"/>
      <scheme val="minor"/>
    </font>
    <font>
      <b/>
      <u val="singleAccounting"/>
      <sz val="11"/>
      <color theme="1"/>
      <name val="Agency FB"/>
      <family val="2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11"/>
      <color theme="1"/>
      <name val="Aptos Narrow"/>
      <family val="2"/>
    </font>
    <font>
      <sz val="9"/>
      <color theme="1"/>
      <name val="Aptos Narrow"/>
      <family val="2"/>
    </font>
    <font>
      <b/>
      <sz val="11"/>
      <color theme="1"/>
      <name val="Aptos Narrow"/>
      <family val="2"/>
    </font>
    <font>
      <b/>
      <i/>
      <sz val="11"/>
      <name val="Aptos Narrow"/>
      <family val="2"/>
    </font>
    <font>
      <sz val="10"/>
      <color theme="1"/>
      <name val="Perpetua"/>
      <family val="1"/>
    </font>
    <font>
      <b/>
      <i/>
      <sz val="10"/>
      <color theme="1"/>
      <name val="Perpetua"/>
      <family val="1"/>
    </font>
    <font>
      <i/>
      <sz val="10"/>
      <color theme="1"/>
      <name val="Perpetua"/>
      <family val="1"/>
    </font>
    <font>
      <b/>
      <sz val="10"/>
      <color theme="1"/>
      <name val="Perpetua"/>
      <family val="1"/>
    </font>
    <font>
      <u/>
      <sz val="11"/>
      <color theme="1"/>
      <name val="Century Gothic"/>
      <family val="2"/>
    </font>
    <font>
      <b/>
      <u/>
      <sz val="10"/>
      <color theme="1"/>
      <name val="Century Gothic"/>
      <family val="2"/>
    </font>
    <font>
      <sz val="10"/>
      <color theme="1"/>
      <name val="Arial Nova Cond Light"/>
      <family val="2"/>
    </font>
    <font>
      <b/>
      <sz val="11"/>
      <color theme="1"/>
      <name val="Arial Nova Cond Light"/>
      <family val="2"/>
    </font>
    <font>
      <b/>
      <sz val="12"/>
      <color theme="1"/>
      <name val="Arial Nova Cond Light"/>
      <family val="2"/>
    </font>
    <font>
      <sz val="11"/>
      <color theme="1"/>
      <name val="Arial Nova Cond Light"/>
      <family val="2"/>
    </font>
    <font>
      <u/>
      <sz val="11"/>
      <color theme="1"/>
      <name val="Arial Nova Cond Light"/>
      <family val="2"/>
    </font>
    <font>
      <i/>
      <sz val="11"/>
      <color theme="1"/>
      <name val="Arial Nova Cond Light"/>
      <family val="2"/>
    </font>
    <font>
      <sz val="9"/>
      <color theme="1"/>
      <name val="Arial Nova Cond Light"/>
      <family val="2"/>
    </font>
    <font>
      <b/>
      <sz val="9"/>
      <color theme="1"/>
      <name val="Arial Nova Cond Light"/>
      <family val="2"/>
    </font>
    <font>
      <sz val="12"/>
      <color theme="1"/>
      <name val="Agency FB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</fills>
  <borders count="28">
    <border>
      <left/>
      <right/>
      <top/>
      <bottom/>
      <diagonal/>
    </border>
    <border>
      <left style="double">
        <color theme="4"/>
      </left>
      <right/>
      <top style="double">
        <color theme="4"/>
      </top>
      <bottom/>
      <diagonal/>
    </border>
    <border>
      <left/>
      <right style="double">
        <color theme="4"/>
      </right>
      <top style="double">
        <color theme="4"/>
      </top>
      <bottom/>
      <diagonal/>
    </border>
    <border>
      <left style="double">
        <color rgb="FF0070C0"/>
      </left>
      <right/>
      <top style="double">
        <color rgb="FF0070C0"/>
      </top>
      <bottom style="double">
        <color rgb="FF0070C0"/>
      </bottom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double">
        <color theme="4"/>
      </left>
      <right/>
      <top/>
      <bottom/>
      <diagonal/>
    </border>
    <border>
      <left/>
      <right style="double">
        <color theme="4"/>
      </right>
      <top/>
      <bottom/>
      <diagonal/>
    </border>
    <border>
      <left style="double">
        <color rgb="FF0070C0"/>
      </left>
      <right/>
      <top/>
      <bottom/>
      <diagonal/>
    </border>
    <border>
      <left/>
      <right style="double">
        <color rgb="FF0070C0"/>
      </right>
      <top/>
      <bottom/>
      <diagonal/>
    </border>
    <border>
      <left/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double">
        <color theme="4"/>
      </left>
      <right/>
      <top/>
      <bottom style="double">
        <color theme="4"/>
      </bottom>
      <diagonal/>
    </border>
    <border>
      <left/>
      <right style="double">
        <color theme="4"/>
      </right>
      <top/>
      <bottom style="double">
        <color theme="4"/>
      </bottom>
      <diagonal/>
    </border>
    <border>
      <left/>
      <right/>
      <top style="double">
        <color rgb="FF0070C0"/>
      </top>
      <bottom style="double">
        <color rgb="FF0070C0"/>
      </bottom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/>
      <diagonal/>
    </border>
    <border>
      <left/>
      <right/>
      <top style="double">
        <color rgb="FF0070C0"/>
      </top>
      <bottom/>
      <diagonal/>
    </border>
    <border>
      <left style="double">
        <color rgb="FF0070C0"/>
      </left>
      <right style="double">
        <color rgb="FF0070C0"/>
      </right>
      <top/>
      <bottom/>
      <diagonal/>
    </border>
    <border>
      <left style="double">
        <color rgb="FF0070C0"/>
      </left>
      <right/>
      <top style="double">
        <color rgb="FF0070C0"/>
      </top>
      <bottom/>
      <diagonal/>
    </border>
    <border>
      <left/>
      <right style="double">
        <color rgb="FF0070C0"/>
      </right>
      <top style="double">
        <color rgb="FF0070C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double">
        <color rgb="FF0070C0"/>
      </left>
      <right/>
      <top/>
      <bottom style="double">
        <color rgb="FF0070C0"/>
      </bottom>
      <diagonal/>
    </border>
    <border>
      <left/>
      <right style="double">
        <color rgb="FF0070C0"/>
      </right>
      <top/>
      <bottom style="double">
        <color rgb="FF0070C0"/>
      </bottom>
      <diagonal/>
    </border>
    <border>
      <left style="double">
        <color rgb="FF0070C0"/>
      </left>
      <right style="double">
        <color rgb="FF0070C0"/>
      </right>
      <top/>
      <bottom style="double">
        <color rgb="FF0070C0"/>
      </bottom>
      <diagonal/>
    </border>
    <border>
      <left/>
      <right/>
      <top/>
      <bottom style="double">
        <color rgb="FF0070C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double">
        <color rgb="FF0070C0"/>
      </left>
      <right/>
      <top/>
      <bottom style="thin">
        <color indexed="64"/>
      </bottom>
      <diagonal/>
    </border>
    <border>
      <left/>
      <right style="double">
        <color rgb="FF0070C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320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4" fillId="0" borderId="0" xfId="0" applyFont="1"/>
    <xf numFmtId="166" fontId="5" fillId="0" borderId="3" xfId="0" applyNumberFormat="1" applyFont="1" applyBorder="1" applyAlignment="1">
      <alignment horizontal="right"/>
    </xf>
    <xf numFmtId="167" fontId="6" fillId="0" borderId="4" xfId="0" applyNumberFormat="1" applyFont="1" applyBorder="1" applyAlignment="1">
      <alignment horizontal="left"/>
    </xf>
    <xf numFmtId="0" fontId="7" fillId="0" borderId="5" xfId="0" applyFont="1" applyBorder="1"/>
    <xf numFmtId="0" fontId="8" fillId="0" borderId="6" xfId="0" applyFont="1" applyBorder="1"/>
    <xf numFmtId="167" fontId="3" fillId="0" borderId="4" xfId="0" applyNumberFormat="1" applyFont="1" applyBorder="1" applyAlignment="1">
      <alignment horizontal="left"/>
    </xf>
    <xf numFmtId="0" fontId="9" fillId="0" borderId="5" xfId="0" applyFont="1" applyBorder="1"/>
    <xf numFmtId="0" fontId="9" fillId="0" borderId="6" xfId="0" applyFont="1" applyBorder="1"/>
    <xf numFmtId="0" fontId="9" fillId="0" borderId="10" xfId="0" applyFont="1" applyBorder="1"/>
    <xf numFmtId="0" fontId="9" fillId="0" borderId="11" xfId="0" applyFont="1" applyBorder="1"/>
    <xf numFmtId="0" fontId="11" fillId="0" borderId="0" xfId="0" applyFont="1"/>
    <xf numFmtId="166" fontId="12" fillId="0" borderId="0" xfId="0" applyNumberFormat="1" applyFont="1" applyAlignment="1">
      <alignment horizontal="left"/>
    </xf>
    <xf numFmtId="166" fontId="4" fillId="0" borderId="0" xfId="0" applyNumberFormat="1" applyFont="1"/>
    <xf numFmtId="0" fontId="14" fillId="0" borderId="4" xfId="0" applyFont="1" applyBorder="1" applyAlignment="1">
      <alignment horizontal="center"/>
    </xf>
    <xf numFmtId="166" fontId="14" fillId="0" borderId="4" xfId="0" applyNumberFormat="1" applyFont="1" applyBorder="1" applyAlignment="1">
      <alignment horizontal="center"/>
    </xf>
    <xf numFmtId="0" fontId="14" fillId="0" borderId="13" xfId="0" applyFont="1" applyBorder="1" applyAlignment="1">
      <alignment horizontal="center" vertical="top"/>
    </xf>
    <xf numFmtId="0" fontId="14" fillId="0" borderId="14" xfId="0" applyFont="1" applyBorder="1" applyAlignment="1">
      <alignment horizontal="left"/>
    </xf>
    <xf numFmtId="0" fontId="14" fillId="0" borderId="14" xfId="0" applyFont="1" applyBorder="1" applyAlignment="1">
      <alignment horizontal="center"/>
    </xf>
    <xf numFmtId="166" fontId="14" fillId="0" borderId="13" xfId="0" applyNumberFormat="1" applyFont="1" applyBorder="1" applyAlignment="1">
      <alignment horizontal="center"/>
    </xf>
    <xf numFmtId="0" fontId="15" fillId="2" borderId="0" xfId="0" applyFont="1" applyFill="1" applyAlignment="1">
      <alignment horizontal="left"/>
    </xf>
    <xf numFmtId="168" fontId="15" fillId="2" borderId="0" xfId="1" applyNumberFormat="1" applyFont="1" applyFill="1" applyBorder="1" applyAlignment="1">
      <alignment horizontal="center"/>
    </xf>
    <xf numFmtId="0" fontId="15" fillId="0" borderId="0" xfId="0" applyFont="1"/>
    <xf numFmtId="166" fontId="14" fillId="0" borderId="15" xfId="0" applyNumberFormat="1" applyFont="1" applyBorder="1" applyAlignment="1">
      <alignment horizontal="center"/>
    </xf>
    <xf numFmtId="168" fontId="16" fillId="2" borderId="0" xfId="1" applyNumberFormat="1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4" fillId="0" borderId="15" xfId="0" applyFont="1" applyBorder="1" applyAlignment="1">
      <alignment horizontal="center" vertical="top"/>
    </xf>
    <xf numFmtId="0" fontId="15" fillId="0" borderId="4" xfId="0" applyFont="1" applyBorder="1" applyAlignment="1">
      <alignment horizontal="center"/>
    </xf>
    <xf numFmtId="0" fontId="15" fillId="0" borderId="12" xfId="0" applyFont="1" applyBorder="1" applyAlignment="1">
      <alignment horizontal="left"/>
    </xf>
    <xf numFmtId="168" fontId="15" fillId="2" borderId="12" xfId="1" applyNumberFormat="1" applyFont="1" applyFill="1" applyBorder="1" applyAlignment="1">
      <alignment horizontal="right"/>
    </xf>
    <xf numFmtId="165" fontId="15" fillId="0" borderId="9" xfId="0" applyNumberFormat="1" applyFont="1" applyBorder="1" applyAlignment="1">
      <alignment horizontal="left"/>
    </xf>
    <xf numFmtId="166" fontId="15" fillId="0" borderId="4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6" fillId="0" borderId="16" xfId="0" applyFont="1" applyBorder="1"/>
    <xf numFmtId="0" fontId="6" fillId="0" borderId="17" xfId="0" applyFont="1" applyBorder="1"/>
    <xf numFmtId="166" fontId="17" fillId="0" borderId="13" xfId="0" applyNumberFormat="1" applyFont="1" applyBorder="1" applyAlignment="1">
      <alignment horizontal="center"/>
    </xf>
    <xf numFmtId="0" fontId="18" fillId="0" borderId="7" xfId="0" applyFont="1" applyBorder="1"/>
    <xf numFmtId="0" fontId="19" fillId="0" borderId="8" xfId="0" applyFont="1" applyBorder="1"/>
    <xf numFmtId="0" fontId="15" fillId="0" borderId="0" xfId="0" applyFont="1" applyAlignment="1">
      <alignment horizontal="center"/>
    </xf>
    <xf numFmtId="166" fontId="17" fillId="0" borderId="18" xfId="0" applyNumberFormat="1" applyFont="1" applyBorder="1"/>
    <xf numFmtId="0" fontId="5" fillId="0" borderId="7" xfId="0" applyFont="1" applyBorder="1"/>
    <xf numFmtId="0" fontId="5" fillId="0" borderId="8" xfId="0" applyFont="1" applyBorder="1"/>
    <xf numFmtId="0" fontId="18" fillId="0" borderId="19" xfId="0" applyFont="1" applyBorder="1"/>
    <xf numFmtId="0" fontId="19" fillId="0" borderId="20" xfId="0" applyFont="1" applyBorder="1"/>
    <xf numFmtId="166" fontId="12" fillId="0" borderId="0" xfId="0" applyNumberFormat="1" applyFont="1" applyAlignment="1">
      <alignment horizontal="center"/>
    </xf>
    <xf numFmtId="0" fontId="18" fillId="0" borderId="0" xfId="0" applyFont="1"/>
    <xf numFmtId="0" fontId="19" fillId="0" borderId="0" xfId="0" applyFont="1"/>
    <xf numFmtId="166" fontId="0" fillId="0" borderId="0" xfId="0" applyNumberFormat="1"/>
    <xf numFmtId="0" fontId="21" fillId="0" borderId="0" xfId="0" applyFont="1"/>
    <xf numFmtId="168" fontId="15" fillId="2" borderId="0" xfId="1" applyNumberFormat="1" applyFont="1" applyFill="1" applyBorder="1" applyAlignment="1">
      <alignment horizontal="right"/>
    </xf>
    <xf numFmtId="0" fontId="14" fillId="0" borderId="0" xfId="0" applyFont="1" applyAlignment="1">
      <alignment horizontal="left"/>
    </xf>
    <xf numFmtId="166" fontId="14" fillId="0" borderId="9" xfId="0" applyNumberFormat="1" applyFont="1" applyBorder="1" applyAlignment="1">
      <alignment horizontal="center"/>
    </xf>
    <xf numFmtId="0" fontId="14" fillId="0" borderId="21" xfId="0" applyFont="1" applyBorder="1" applyAlignment="1">
      <alignment horizontal="center" vertical="top"/>
    </xf>
    <xf numFmtId="0" fontId="15" fillId="2" borderId="22" xfId="0" applyFont="1" applyFill="1" applyBorder="1" applyAlignment="1">
      <alignment horizontal="left"/>
    </xf>
    <xf numFmtId="168" fontId="15" fillId="2" borderId="22" xfId="1" applyNumberFormat="1" applyFont="1" applyFill="1" applyBorder="1" applyAlignment="1">
      <alignment horizontal="center"/>
    </xf>
    <xf numFmtId="0" fontId="15" fillId="0" borderId="22" xfId="0" applyFont="1" applyBorder="1" applyAlignment="1">
      <alignment horizontal="left"/>
    </xf>
    <xf numFmtId="166" fontId="14" fillId="0" borderId="21" xfId="0" applyNumberFormat="1" applyFont="1" applyBorder="1" applyAlignment="1">
      <alignment horizontal="center"/>
    </xf>
    <xf numFmtId="0" fontId="22" fillId="0" borderId="0" xfId="0" applyFont="1"/>
    <xf numFmtId="0" fontId="24" fillId="0" borderId="0" xfId="0" applyFont="1"/>
    <xf numFmtId="0" fontId="25" fillId="3" borderId="4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vertical="center"/>
    </xf>
    <xf numFmtId="0" fontId="25" fillId="0" borderId="0" xfId="0" applyFont="1"/>
    <xf numFmtId="0" fontId="25" fillId="4" borderId="4" xfId="0" applyFont="1" applyFill="1" applyBorder="1" applyAlignment="1">
      <alignment vertical="center"/>
    </xf>
    <xf numFmtId="0" fontId="14" fillId="0" borderId="0" xfId="0" applyFont="1"/>
    <xf numFmtId="168" fontId="14" fillId="2" borderId="0" xfId="1" applyNumberFormat="1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14" fillId="0" borderId="3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 vertical="top"/>
    </xf>
    <xf numFmtId="0" fontId="15" fillId="0" borderId="15" xfId="0" applyFont="1" applyBorder="1" applyAlignment="1">
      <alignment horizontal="center" vertical="top"/>
    </xf>
    <xf numFmtId="166" fontId="5" fillId="0" borderId="3" xfId="0" applyNumberFormat="1" applyFont="1" applyBorder="1" applyAlignment="1">
      <alignment horizontal="left"/>
    </xf>
    <xf numFmtId="166" fontId="5" fillId="0" borderId="9" xfId="0" applyNumberFormat="1" applyFont="1" applyBorder="1" applyAlignment="1">
      <alignment horizontal="left"/>
    </xf>
    <xf numFmtId="166" fontId="6" fillId="0" borderId="3" xfId="0" applyNumberFormat="1" applyFont="1" applyBorder="1" applyAlignment="1">
      <alignment horizontal="left"/>
    </xf>
    <xf numFmtId="166" fontId="6" fillId="0" borderId="9" xfId="0" applyNumberFormat="1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14" fillId="0" borderId="9" xfId="0" applyFont="1" applyBorder="1" applyAlignment="1">
      <alignment horizontal="center"/>
    </xf>
    <xf numFmtId="0" fontId="15" fillId="0" borderId="21" xfId="0" applyFont="1" applyBorder="1" applyAlignment="1">
      <alignment horizontal="center" vertical="top"/>
    </xf>
    <xf numFmtId="0" fontId="26" fillId="0" borderId="0" xfId="0" applyFont="1"/>
    <xf numFmtId="166" fontId="5" fillId="0" borderId="3" xfId="0" applyNumberFormat="1" applyFont="1" applyBorder="1" applyAlignment="1">
      <alignment horizontal="right" vertical="center"/>
    </xf>
    <xf numFmtId="167" fontId="3" fillId="0" borderId="4" xfId="0" applyNumberFormat="1" applyFont="1" applyBorder="1" applyAlignment="1">
      <alignment horizontal="left" vertical="center"/>
    </xf>
    <xf numFmtId="166" fontId="17" fillId="0" borderId="17" xfId="0" applyNumberFormat="1" applyFont="1" applyBorder="1" applyAlignment="1">
      <alignment horizontal="center"/>
    </xf>
    <xf numFmtId="166" fontId="17" fillId="0" borderId="24" xfId="0" applyNumberFormat="1" applyFont="1" applyBorder="1"/>
    <xf numFmtId="0" fontId="14" fillId="0" borderId="4" xfId="0" applyFont="1" applyBorder="1" applyAlignment="1">
      <alignment horizontal="right"/>
    </xf>
    <xf numFmtId="166" fontId="17" fillId="0" borderId="0" xfId="0" applyNumberFormat="1" applyFont="1"/>
    <xf numFmtId="166" fontId="9" fillId="0" borderId="3" xfId="0" applyNumberFormat="1" applyFont="1" applyBorder="1" applyAlignment="1">
      <alignment horizontal="right" vertical="center"/>
    </xf>
    <xf numFmtId="166" fontId="9" fillId="0" borderId="3" xfId="0" applyNumberFormat="1" applyFont="1" applyBorder="1" applyAlignment="1">
      <alignment horizontal="right"/>
    </xf>
    <xf numFmtId="166" fontId="9" fillId="0" borderId="3" xfId="0" applyNumberFormat="1" applyFont="1" applyBorder="1" applyAlignment="1">
      <alignment horizontal="left"/>
    </xf>
    <xf numFmtId="168" fontId="16" fillId="2" borderId="23" xfId="1" applyNumberFormat="1" applyFont="1" applyFill="1" applyBorder="1" applyAlignment="1">
      <alignment horizontal="center"/>
    </xf>
    <xf numFmtId="168" fontId="14" fillId="2" borderId="0" xfId="1" applyNumberFormat="1" applyFont="1" applyFill="1" applyBorder="1" applyAlignment="1">
      <alignment horizontal="right"/>
    </xf>
    <xf numFmtId="168" fontId="40" fillId="2" borderId="0" xfId="1" applyNumberFormat="1" applyFont="1" applyFill="1" applyBorder="1" applyAlignment="1">
      <alignment horizontal="right"/>
    </xf>
    <xf numFmtId="0" fontId="28" fillId="0" borderId="0" xfId="0" applyFont="1"/>
    <xf numFmtId="0" fontId="22" fillId="0" borderId="0" xfId="0" applyFont="1" applyAlignment="1">
      <alignment horizontal="left"/>
    </xf>
    <xf numFmtId="166" fontId="35" fillId="0" borderId="3" xfId="0" applyNumberFormat="1" applyFont="1" applyBorder="1" applyAlignment="1">
      <alignment horizontal="right" vertical="center"/>
    </xf>
    <xf numFmtId="167" fontId="36" fillId="0" borderId="4" xfId="0" applyNumberFormat="1" applyFont="1" applyBorder="1" applyAlignment="1">
      <alignment horizontal="left" vertical="center"/>
    </xf>
    <xf numFmtId="166" fontId="37" fillId="0" borderId="3" xfId="0" applyNumberFormat="1" applyFont="1" applyBorder="1" applyAlignment="1">
      <alignment horizontal="right" vertical="center"/>
    </xf>
    <xf numFmtId="166" fontId="37" fillId="0" borderId="3" xfId="0" applyNumberFormat="1" applyFont="1" applyBorder="1" applyAlignment="1">
      <alignment horizontal="left" vertical="center"/>
    </xf>
    <xf numFmtId="166" fontId="37" fillId="0" borderId="9" xfId="0" applyNumberFormat="1" applyFont="1" applyBorder="1" applyAlignment="1">
      <alignment horizontal="left" vertical="center"/>
    </xf>
    <xf numFmtId="166" fontId="35" fillId="0" borderId="3" xfId="0" applyNumberFormat="1" applyFont="1" applyBorder="1" applyAlignment="1">
      <alignment horizontal="left" vertical="center"/>
    </xf>
    <xf numFmtId="0" fontId="14" fillId="0" borderId="16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168" fontId="14" fillId="2" borderId="23" xfId="1" applyNumberFormat="1" applyFont="1" applyFill="1" applyBorder="1" applyAlignment="1">
      <alignment horizontal="right"/>
    </xf>
    <xf numFmtId="0" fontId="14" fillId="0" borderId="14" xfId="0" applyFont="1" applyBorder="1" applyAlignment="1">
      <alignment horizontal="right"/>
    </xf>
    <xf numFmtId="0" fontId="2" fillId="0" borderId="0" xfId="0" applyFont="1"/>
    <xf numFmtId="44" fontId="0" fillId="0" borderId="0" xfId="3" applyFont="1"/>
    <xf numFmtId="0" fontId="24" fillId="0" borderId="4" xfId="0" applyFont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166" fontId="41" fillId="0" borderId="3" xfId="0" applyNumberFormat="1" applyFont="1" applyBorder="1" applyAlignment="1">
      <alignment horizontal="right"/>
    </xf>
    <xf numFmtId="167" fontId="42" fillId="0" borderId="4" xfId="0" applyNumberFormat="1" applyFont="1" applyBorder="1" applyAlignment="1">
      <alignment horizontal="left"/>
    </xf>
    <xf numFmtId="167" fontId="43" fillId="0" borderId="4" xfId="0" applyNumberFormat="1" applyFont="1" applyBorder="1" applyAlignment="1">
      <alignment horizontal="left"/>
    </xf>
    <xf numFmtId="166" fontId="45" fillId="0" borderId="3" xfId="0" applyNumberFormat="1" applyFont="1" applyBorder="1" applyAlignment="1">
      <alignment horizontal="right" vertical="center"/>
    </xf>
    <xf numFmtId="167" fontId="43" fillId="0" borderId="4" xfId="0" applyNumberFormat="1" applyFont="1" applyBorder="1" applyAlignment="1">
      <alignment horizontal="left" vertical="center"/>
    </xf>
    <xf numFmtId="166" fontId="41" fillId="0" borderId="3" xfId="0" applyNumberFormat="1" applyFont="1" applyBorder="1" applyAlignment="1">
      <alignment horizontal="right" vertical="center"/>
    </xf>
    <xf numFmtId="166" fontId="45" fillId="0" borderId="3" xfId="0" applyNumberFormat="1" applyFont="1" applyBorder="1" applyAlignment="1">
      <alignment horizontal="right"/>
    </xf>
    <xf numFmtId="166" fontId="41" fillId="0" borderId="3" xfId="0" applyNumberFormat="1" applyFont="1" applyBorder="1" applyAlignment="1">
      <alignment horizontal="left"/>
    </xf>
    <xf numFmtId="166" fontId="41" fillId="0" borderId="9" xfId="0" applyNumberFormat="1" applyFont="1" applyBorder="1" applyAlignment="1">
      <alignment horizontal="left"/>
    </xf>
    <xf numFmtId="166" fontId="45" fillId="0" borderId="3" xfId="0" applyNumberFormat="1" applyFont="1" applyBorder="1" applyAlignment="1">
      <alignment horizontal="left"/>
    </xf>
    <xf numFmtId="166" fontId="42" fillId="0" borderId="3" xfId="0" applyNumberFormat="1" applyFont="1" applyBorder="1" applyAlignment="1">
      <alignment horizontal="left"/>
    </xf>
    <xf numFmtId="166" fontId="42" fillId="0" borderId="9" xfId="0" applyNumberFormat="1" applyFont="1" applyBorder="1" applyAlignment="1">
      <alignment horizontal="left"/>
    </xf>
    <xf numFmtId="0" fontId="42" fillId="0" borderId="3" xfId="0" applyFont="1" applyBorder="1" applyAlignment="1">
      <alignment horizontal="left"/>
    </xf>
    <xf numFmtId="0" fontId="42" fillId="0" borderId="9" xfId="0" applyFont="1" applyBorder="1" applyAlignment="1">
      <alignment horizontal="left"/>
    </xf>
    <xf numFmtId="0" fontId="47" fillId="0" borderId="16" xfId="0" applyFont="1" applyBorder="1"/>
    <xf numFmtId="0" fontId="47" fillId="0" borderId="17" xfId="0" applyFont="1" applyBorder="1"/>
    <xf numFmtId="0" fontId="48" fillId="0" borderId="7" xfId="0" applyFont="1" applyBorder="1"/>
    <xf numFmtId="0" fontId="49" fillId="0" borderId="8" xfId="0" applyFont="1" applyBorder="1"/>
    <xf numFmtId="0" fontId="50" fillId="0" borderId="7" xfId="0" applyFont="1" applyBorder="1"/>
    <xf numFmtId="0" fontId="50" fillId="0" borderId="8" xfId="0" applyFont="1" applyBorder="1"/>
    <xf numFmtId="0" fontId="48" fillId="0" borderId="19" xfId="0" applyFont="1" applyBorder="1"/>
    <xf numFmtId="0" fontId="49" fillId="0" borderId="20" xfId="0" applyFont="1" applyBorder="1"/>
    <xf numFmtId="0" fontId="34" fillId="0" borderId="0" xfId="0" applyFont="1" applyAlignment="1">
      <alignment horizontal="center"/>
    </xf>
    <xf numFmtId="168" fontId="40" fillId="2" borderId="23" xfId="1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24" fillId="2" borderId="0" xfId="0" applyFont="1" applyFill="1"/>
    <xf numFmtId="0" fontId="25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54" fillId="0" borderId="0" xfId="0" applyFont="1"/>
    <xf numFmtId="0" fontId="56" fillId="0" borderId="0" xfId="0" applyFont="1"/>
    <xf numFmtId="0" fontId="14" fillId="0" borderId="7" xfId="0" applyFont="1" applyBorder="1" applyAlignment="1">
      <alignment horizontal="left"/>
    </xf>
    <xf numFmtId="0" fontId="14" fillId="0" borderId="8" xfId="0" applyFont="1" applyBorder="1" applyAlignment="1">
      <alignment horizontal="center"/>
    </xf>
    <xf numFmtId="0" fontId="15" fillId="2" borderId="7" xfId="0" applyFont="1" applyFill="1" applyBorder="1" applyAlignment="1">
      <alignment horizontal="left"/>
    </xf>
    <xf numFmtId="0" fontId="15" fillId="0" borderId="8" xfId="0" applyFont="1" applyBorder="1" applyAlignment="1">
      <alignment horizontal="left"/>
    </xf>
    <xf numFmtId="0" fontId="15" fillId="0" borderId="8" xfId="0" applyFont="1" applyBorder="1"/>
    <xf numFmtId="0" fontId="15" fillId="2" borderId="25" xfId="0" applyFont="1" applyFill="1" applyBorder="1" applyAlignment="1">
      <alignment horizontal="left"/>
    </xf>
    <xf numFmtId="168" fontId="14" fillId="2" borderId="23" xfId="1" applyNumberFormat="1" applyFont="1" applyFill="1" applyBorder="1" applyAlignment="1">
      <alignment horizontal="center"/>
    </xf>
    <xf numFmtId="0" fontId="15" fillId="0" borderId="26" xfId="0" applyFont="1" applyBorder="1" applyAlignment="1">
      <alignment horizontal="left"/>
    </xf>
    <xf numFmtId="168" fontId="15" fillId="2" borderId="23" xfId="1" applyNumberFormat="1" applyFont="1" applyFill="1" applyBorder="1" applyAlignment="1">
      <alignment horizontal="center"/>
    </xf>
    <xf numFmtId="168" fontId="15" fillId="2" borderId="12" xfId="1" applyNumberFormat="1" applyFont="1" applyFill="1" applyBorder="1" applyAlignment="1">
      <alignment horizontal="right" vertical="center"/>
    </xf>
    <xf numFmtId="165" fontId="15" fillId="0" borderId="9" xfId="0" applyNumberFormat="1" applyFont="1" applyBorder="1" applyAlignment="1">
      <alignment horizontal="left" vertical="center"/>
    </xf>
    <xf numFmtId="166" fontId="14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right" vertical="center"/>
    </xf>
    <xf numFmtId="0" fontId="54" fillId="0" borderId="0" xfId="0" applyFont="1" applyAlignment="1">
      <alignment horizontal="center" vertical="center"/>
    </xf>
    <xf numFmtId="0" fontId="54" fillId="0" borderId="4" xfId="0" applyFont="1" applyBorder="1" applyAlignment="1">
      <alignment horizontal="right" vertical="center"/>
    </xf>
    <xf numFmtId="166" fontId="55" fillId="0" borderId="17" xfId="0" applyNumberFormat="1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166" fontId="55" fillId="0" borderId="24" xfId="0" applyNumberFormat="1" applyFont="1" applyBorder="1" applyAlignment="1">
      <alignment vertical="center"/>
    </xf>
    <xf numFmtId="0" fontId="54" fillId="0" borderId="0" xfId="0" applyFont="1" applyAlignment="1">
      <alignment horizontal="right" vertical="center"/>
    </xf>
    <xf numFmtId="166" fontId="55" fillId="0" borderId="0" xfId="0" applyNumberFormat="1" applyFont="1" applyAlignment="1">
      <alignment vertical="center"/>
    </xf>
    <xf numFmtId="0" fontId="53" fillId="0" borderId="0" xfId="0" applyFont="1" applyAlignment="1">
      <alignment vertical="center"/>
    </xf>
    <xf numFmtId="166" fontId="53" fillId="0" borderId="0" xfId="0" applyNumberFormat="1" applyFont="1" applyAlignment="1">
      <alignment vertical="center"/>
    </xf>
    <xf numFmtId="0" fontId="54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166" fontId="56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4" fillId="0" borderId="4" xfId="0" quotePrefix="1" applyFont="1" applyBorder="1" applyAlignment="1">
      <alignment horizontal="right" vertical="center"/>
    </xf>
    <xf numFmtId="0" fontId="24" fillId="0" borderId="4" xfId="0" applyFont="1" applyBorder="1" applyAlignment="1">
      <alignment horizontal="right" vertical="center"/>
    </xf>
    <xf numFmtId="0" fontId="25" fillId="4" borderId="4" xfId="0" applyFont="1" applyFill="1" applyBorder="1" applyAlignment="1">
      <alignment horizontal="right" vertical="center"/>
    </xf>
    <xf numFmtId="0" fontId="23" fillId="0" borderId="7" xfId="0" applyFont="1" applyBorder="1" applyAlignment="1">
      <alignment horizontal="left"/>
    </xf>
    <xf numFmtId="0" fontId="23" fillId="0" borderId="8" xfId="0" applyFont="1" applyBorder="1" applyAlignment="1">
      <alignment horizontal="left"/>
    </xf>
    <xf numFmtId="0" fontId="23" fillId="0" borderId="19" xfId="0" applyFont="1" applyBorder="1" applyAlignment="1">
      <alignment horizontal="left"/>
    </xf>
    <xf numFmtId="0" fontId="23" fillId="0" borderId="20" xfId="0" applyFont="1" applyBorder="1" applyAlignment="1">
      <alignment horizontal="left"/>
    </xf>
    <xf numFmtId="0" fontId="32" fillId="0" borderId="16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166" fontId="17" fillId="0" borderId="9" xfId="0" applyNumberFormat="1" applyFont="1" applyBorder="1" applyAlignment="1">
      <alignment horizontal="center"/>
    </xf>
    <xf numFmtId="0" fontId="17" fillId="0" borderId="4" xfId="0" applyFont="1" applyBorder="1" applyAlignment="1">
      <alignment horizontal="right"/>
    </xf>
    <xf numFmtId="0" fontId="61" fillId="0" borderId="4" xfId="0" applyFont="1" applyBorder="1" applyAlignment="1">
      <alignment horizontal="right"/>
    </xf>
    <xf numFmtId="166" fontId="61" fillId="0" borderId="17" xfId="0" applyNumberFormat="1" applyFont="1" applyBorder="1" applyAlignment="1">
      <alignment horizontal="center"/>
    </xf>
    <xf numFmtId="0" fontId="33" fillId="0" borderId="7" xfId="0" applyFont="1" applyBorder="1" applyAlignment="1">
      <alignment horizontal="left" vertical="center"/>
    </xf>
    <xf numFmtId="0" fontId="33" fillId="0" borderId="8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5" borderId="0" xfId="0" applyFill="1"/>
    <xf numFmtId="0" fontId="0" fillId="6" borderId="27" xfId="0" applyFill="1" applyBorder="1"/>
    <xf numFmtId="0" fontId="0" fillId="4" borderId="0" xfId="0" applyFill="1"/>
    <xf numFmtId="0" fontId="0" fillId="7" borderId="0" xfId="0" applyFill="1"/>
    <xf numFmtId="9" fontId="0" fillId="0" borderId="0" xfId="0" applyNumberFormat="1"/>
    <xf numFmtId="0" fontId="0" fillId="0" borderId="0" xfId="0" applyAlignment="1">
      <alignment horizontal="center" wrapText="1"/>
    </xf>
    <xf numFmtId="0" fontId="0" fillId="2" borderId="0" xfId="0" applyFill="1"/>
    <xf numFmtId="0" fontId="0" fillId="2" borderId="27" xfId="0" applyFill="1" applyBorder="1"/>
    <xf numFmtId="0" fontId="0" fillId="2" borderId="0" xfId="0" quotePrefix="1" applyFill="1"/>
    <xf numFmtId="168" fontId="0" fillId="0" borderId="0" xfId="0" applyNumberFormat="1"/>
    <xf numFmtId="0" fontId="17" fillId="0" borderId="14" xfId="0" applyFont="1" applyBorder="1" applyAlignment="1">
      <alignment horizontal="center"/>
    </xf>
    <xf numFmtId="0" fontId="17" fillId="0" borderId="0" xfId="0" applyFont="1" applyAlignment="1">
      <alignment horizontal="center"/>
    </xf>
    <xf numFmtId="166" fontId="17" fillId="0" borderId="15" xfId="0" applyNumberFormat="1" applyFont="1" applyBorder="1" applyAlignment="1">
      <alignment horizontal="center"/>
    </xf>
    <xf numFmtId="0" fontId="61" fillId="0" borderId="0" xfId="0" applyFont="1"/>
    <xf numFmtId="0" fontId="61" fillId="0" borderId="0" xfId="0" applyFont="1" applyAlignment="1">
      <alignment horizontal="left"/>
    </xf>
    <xf numFmtId="165" fontId="61" fillId="0" borderId="9" xfId="0" applyNumberFormat="1" applyFont="1" applyBorder="1" applyAlignment="1">
      <alignment horizontal="left"/>
    </xf>
    <xf numFmtId="168" fontId="0" fillId="0" borderId="0" xfId="0" applyNumberFormat="1" applyAlignment="1">
      <alignment horizontal="center"/>
    </xf>
    <xf numFmtId="0" fontId="58" fillId="0" borderId="0" xfId="0" applyFont="1" applyAlignment="1">
      <alignment horizontal="center" vertical="center"/>
    </xf>
    <xf numFmtId="168" fontId="0" fillId="4" borderId="0" xfId="0" applyNumberFormat="1" applyFill="1"/>
    <xf numFmtId="0" fontId="23" fillId="0" borderId="7" xfId="0" applyFont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3" fillId="0" borderId="7" xfId="0" applyFont="1" applyBorder="1" applyAlignment="1">
      <alignment horizontal="left"/>
    </xf>
    <xf numFmtId="0" fontId="23" fillId="0" borderId="8" xfId="0" applyFont="1" applyBorder="1" applyAlignment="1">
      <alignment horizontal="left"/>
    </xf>
    <xf numFmtId="0" fontId="23" fillId="0" borderId="19" xfId="0" applyFont="1" applyBorder="1" applyAlignment="1">
      <alignment horizontal="left"/>
    </xf>
    <xf numFmtId="0" fontId="23" fillId="0" borderId="2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29" fillId="0" borderId="16" xfId="0" applyFont="1" applyBorder="1" applyAlignment="1">
      <alignment horizontal="left"/>
    </xf>
    <xf numFmtId="0" fontId="29" fillId="0" borderId="17" xfId="0" applyFont="1" applyBorder="1" applyAlignment="1">
      <alignment horizontal="left"/>
    </xf>
    <xf numFmtId="0" fontId="29" fillId="0" borderId="7" xfId="0" applyFont="1" applyBorder="1" applyAlignment="1">
      <alignment horizontal="left"/>
    </xf>
    <xf numFmtId="0" fontId="29" fillId="0" borderId="8" xfId="0" applyFont="1" applyBorder="1" applyAlignment="1">
      <alignment horizontal="left"/>
    </xf>
    <xf numFmtId="0" fontId="46" fillId="0" borderId="19" xfId="2" applyFont="1" applyBorder="1" applyAlignment="1">
      <alignment horizontal="left" vertical="top"/>
    </xf>
    <xf numFmtId="0" fontId="46" fillId="0" borderId="20" xfId="2" applyFont="1" applyBorder="1" applyAlignment="1">
      <alignment horizontal="left" vertical="top"/>
    </xf>
    <xf numFmtId="166" fontId="41" fillId="0" borderId="3" xfId="0" applyNumberFormat="1" applyFont="1" applyBorder="1" applyAlignment="1">
      <alignment horizontal="left" vertical="center"/>
    </xf>
    <xf numFmtId="166" fontId="41" fillId="0" borderId="9" xfId="0" applyNumberFormat="1" applyFont="1" applyBorder="1" applyAlignment="1">
      <alignment horizontal="left" vertical="center"/>
    </xf>
    <xf numFmtId="0" fontId="34" fillId="0" borderId="0" xfId="0" applyFont="1" applyAlignment="1">
      <alignment horizontal="center"/>
    </xf>
    <xf numFmtId="0" fontId="13" fillId="0" borderId="22" xfId="0" applyFont="1" applyBorder="1" applyAlignment="1">
      <alignment horizontal="left"/>
    </xf>
    <xf numFmtId="0" fontId="14" fillId="0" borderId="3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5" fillId="0" borderId="13" xfId="0" applyFont="1" applyBorder="1" applyAlignment="1">
      <alignment horizontal="center" vertical="top"/>
    </xf>
    <xf numFmtId="0" fontId="15" fillId="0" borderId="15" xfId="0" applyFont="1" applyBorder="1" applyAlignment="1">
      <alignment horizontal="center" vertical="top"/>
    </xf>
    <xf numFmtId="0" fontId="15" fillId="0" borderId="21" xfId="0" applyFont="1" applyBorder="1" applyAlignment="1">
      <alignment horizontal="center" vertical="top"/>
    </xf>
    <xf numFmtId="0" fontId="32" fillId="0" borderId="16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33" fillId="0" borderId="7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30" fillId="0" borderId="7" xfId="0" applyFont="1" applyBorder="1" applyAlignment="1">
      <alignment horizontal="left"/>
    </xf>
    <xf numFmtId="0" fontId="30" fillId="0" borderId="8" xfId="0" applyFont="1" applyBorder="1" applyAlignment="1">
      <alignment horizontal="left"/>
    </xf>
    <xf numFmtId="166" fontId="45" fillId="0" borderId="3" xfId="0" applyNumberFormat="1" applyFont="1" applyBorder="1" applyAlignment="1">
      <alignment horizontal="left" vertical="center"/>
    </xf>
    <xf numFmtId="166" fontId="45" fillId="0" borderId="9" xfId="0" applyNumberFormat="1" applyFont="1" applyBorder="1" applyAlignment="1">
      <alignment horizontal="left" vertical="center"/>
    </xf>
    <xf numFmtId="166" fontId="44" fillId="0" borderId="3" xfId="0" applyNumberFormat="1" applyFont="1" applyBorder="1" applyAlignment="1">
      <alignment horizontal="left" vertical="center"/>
    </xf>
    <xf numFmtId="166" fontId="44" fillId="0" borderId="9" xfId="0" applyNumberFormat="1" applyFont="1" applyBorder="1" applyAlignment="1">
      <alignment horizontal="left" vertical="center"/>
    </xf>
    <xf numFmtId="0" fontId="46" fillId="0" borderId="7" xfId="2" applyFont="1" applyBorder="1" applyAlignment="1">
      <alignment horizontal="left" vertical="top"/>
    </xf>
    <xf numFmtId="0" fontId="46" fillId="0" borderId="8" xfId="2" applyFont="1" applyBorder="1" applyAlignment="1">
      <alignment horizontal="left" vertical="top"/>
    </xf>
    <xf numFmtId="0" fontId="44" fillId="0" borderId="3" xfId="0" applyFont="1" applyBorder="1" applyAlignment="1">
      <alignment horizontal="left" vertical="center"/>
    </xf>
    <xf numFmtId="0" fontId="44" fillId="0" borderId="9" xfId="0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27" fillId="0" borderId="5" xfId="2" applyBorder="1" applyAlignment="1">
      <alignment horizontal="left" vertical="top"/>
    </xf>
    <xf numFmtId="0" fontId="27" fillId="0" borderId="6" xfId="2" applyBorder="1" applyAlignment="1">
      <alignment horizontal="left" vertical="top"/>
    </xf>
    <xf numFmtId="0" fontId="10" fillId="0" borderId="3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28" fillId="0" borderId="1" xfId="0" applyFont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9" fillId="0" borderId="5" xfId="0" applyFont="1" applyBorder="1" applyAlignment="1">
      <alignment horizontal="left"/>
    </xf>
    <xf numFmtId="0" fontId="29" fillId="0" borderId="6" xfId="0" applyFont="1" applyBorder="1" applyAlignment="1">
      <alignment horizontal="left"/>
    </xf>
    <xf numFmtId="0" fontId="30" fillId="0" borderId="5" xfId="0" applyFont="1" applyBorder="1" applyAlignment="1">
      <alignment horizontal="left"/>
    </xf>
    <xf numFmtId="0" fontId="30" fillId="0" borderId="6" xfId="0" applyFont="1" applyBorder="1" applyAlignment="1">
      <alignment horizontal="left"/>
    </xf>
    <xf numFmtId="166" fontId="5" fillId="0" borderId="3" xfId="0" applyNumberFormat="1" applyFont="1" applyBorder="1" applyAlignment="1">
      <alignment horizontal="left" vertical="center"/>
    </xf>
    <xf numFmtId="166" fontId="5" fillId="0" borderId="9" xfId="0" applyNumberFormat="1" applyFont="1" applyBorder="1" applyAlignment="1">
      <alignment horizontal="left" vertical="center"/>
    </xf>
    <xf numFmtId="166" fontId="9" fillId="0" borderId="3" xfId="0" applyNumberFormat="1" applyFont="1" applyBorder="1" applyAlignment="1">
      <alignment horizontal="left" vertical="center"/>
    </xf>
    <xf numFmtId="166" fontId="9" fillId="0" borderId="9" xfId="0" applyNumberFormat="1" applyFont="1" applyBorder="1" applyAlignment="1">
      <alignment horizontal="left" vertical="center"/>
    </xf>
    <xf numFmtId="0" fontId="31" fillId="0" borderId="10" xfId="0" applyFont="1" applyBorder="1" applyAlignment="1">
      <alignment horizontal="left"/>
    </xf>
    <xf numFmtId="0" fontId="31" fillId="0" borderId="11" xfId="0" applyFont="1" applyBorder="1" applyAlignment="1">
      <alignment horizontal="left"/>
    </xf>
    <xf numFmtId="166" fontId="10" fillId="0" borderId="3" xfId="0" applyNumberFormat="1" applyFont="1" applyBorder="1" applyAlignment="1">
      <alignment horizontal="left" vertical="center"/>
    </xf>
    <xf numFmtId="166" fontId="10" fillId="0" borderId="9" xfId="0" applyNumberFormat="1" applyFont="1" applyBorder="1" applyAlignment="1">
      <alignment horizontal="left" vertical="center"/>
    </xf>
    <xf numFmtId="0" fontId="29" fillId="0" borderId="1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51" fillId="0" borderId="0" xfId="0" applyFont="1" applyAlignment="1">
      <alignment horizontal="center"/>
    </xf>
    <xf numFmtId="166" fontId="41" fillId="0" borderId="4" xfId="0" applyNumberFormat="1" applyFont="1" applyBorder="1" applyAlignment="1">
      <alignment horizontal="left"/>
    </xf>
    <xf numFmtId="0" fontId="14" fillId="0" borderId="13" xfId="0" applyFont="1" applyBorder="1" applyAlignment="1">
      <alignment horizontal="center" vertical="top"/>
    </xf>
    <xf numFmtId="0" fontId="14" fillId="0" borderId="15" xfId="0" applyFont="1" applyBorder="1" applyAlignment="1">
      <alignment horizontal="center" vertical="top"/>
    </xf>
    <xf numFmtId="166" fontId="41" fillId="0" borderId="7" xfId="0" applyNumberFormat="1" applyFont="1" applyBorder="1" applyAlignment="1">
      <alignment horizontal="left"/>
    </xf>
    <xf numFmtId="166" fontId="41" fillId="0" borderId="8" xfId="0" applyNumberFormat="1" applyFont="1" applyBorder="1" applyAlignment="1">
      <alignment horizontal="left"/>
    </xf>
    <xf numFmtId="166" fontId="44" fillId="0" borderId="4" xfId="0" applyNumberFormat="1" applyFont="1" applyBorder="1" applyAlignment="1">
      <alignment horizontal="left"/>
    </xf>
    <xf numFmtId="0" fontId="44" fillId="0" borderId="3" xfId="0" applyFont="1" applyBorder="1" applyAlignment="1">
      <alignment horizontal="left"/>
    </xf>
    <xf numFmtId="0" fontId="44" fillId="0" borderId="9" xfId="0" applyFont="1" applyBorder="1" applyAlignment="1">
      <alignment horizontal="left"/>
    </xf>
    <xf numFmtId="0" fontId="0" fillId="0" borderId="0" xfId="0" applyAlignment="1">
      <alignment horizontal="center"/>
    </xf>
    <xf numFmtId="166" fontId="5" fillId="0" borderId="4" xfId="0" applyNumberFormat="1" applyFont="1" applyBorder="1" applyAlignment="1">
      <alignment horizontal="left"/>
    </xf>
    <xf numFmtId="166" fontId="5" fillId="0" borderId="7" xfId="0" applyNumberFormat="1" applyFont="1" applyBorder="1" applyAlignment="1">
      <alignment horizontal="left"/>
    </xf>
    <xf numFmtId="166" fontId="5" fillId="0" borderId="8" xfId="0" applyNumberFormat="1" applyFont="1" applyBorder="1" applyAlignment="1">
      <alignment horizontal="left"/>
    </xf>
    <xf numFmtId="166" fontId="10" fillId="0" borderId="4" xfId="0" applyNumberFormat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57" fillId="0" borderId="0" xfId="0" applyFont="1" applyAlignment="1">
      <alignment horizontal="center"/>
    </xf>
    <xf numFmtId="0" fontId="54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16" xfId="0" applyFont="1" applyBorder="1" applyAlignment="1">
      <alignment horizontal="left" vertical="center"/>
    </xf>
    <xf numFmtId="0" fontId="59" fillId="0" borderId="17" xfId="0" applyFont="1" applyBorder="1" applyAlignment="1">
      <alignment horizontal="left" vertical="center"/>
    </xf>
    <xf numFmtId="0" fontId="60" fillId="0" borderId="7" xfId="0" applyFont="1" applyBorder="1" applyAlignment="1">
      <alignment horizontal="center" vertical="center"/>
    </xf>
    <xf numFmtId="0" fontId="60" fillId="0" borderId="8" xfId="0" applyFont="1" applyBorder="1" applyAlignment="1">
      <alignment horizontal="center" vertical="center"/>
    </xf>
    <xf numFmtId="0" fontId="60" fillId="0" borderId="7" xfId="0" applyFont="1" applyBorder="1" applyAlignment="1">
      <alignment horizontal="left" vertical="center"/>
    </xf>
    <xf numFmtId="0" fontId="60" fillId="0" borderId="8" xfId="0" applyFont="1" applyBorder="1" applyAlignment="1">
      <alignment horizontal="left" vertical="center"/>
    </xf>
    <xf numFmtId="0" fontId="60" fillId="0" borderId="7" xfId="0" applyFont="1" applyBorder="1" applyAlignment="1">
      <alignment horizontal="left"/>
    </xf>
    <xf numFmtId="0" fontId="60" fillId="0" borderId="8" xfId="0" applyFont="1" applyBorder="1" applyAlignment="1">
      <alignment horizontal="left"/>
    </xf>
    <xf numFmtId="0" fontId="60" fillId="0" borderId="19" xfId="0" applyFont="1" applyBorder="1" applyAlignment="1">
      <alignment horizontal="left"/>
    </xf>
    <xf numFmtId="0" fontId="60" fillId="0" borderId="20" xfId="0" applyFont="1" applyBorder="1" applyAlignment="1">
      <alignment horizontal="left"/>
    </xf>
    <xf numFmtId="0" fontId="54" fillId="0" borderId="0" xfId="0" applyFont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30" fillId="0" borderId="6" xfId="0" applyFont="1" applyBorder="1" applyAlignment="1">
      <alignment horizontal="left" vertical="center"/>
    </xf>
    <xf numFmtId="166" fontId="38" fillId="0" borderId="16" xfId="0" applyNumberFormat="1" applyFont="1" applyBorder="1" applyAlignment="1">
      <alignment horizontal="left" vertical="center" wrapText="1"/>
    </xf>
    <xf numFmtId="166" fontId="38" fillId="0" borderId="17" xfId="0" applyNumberFormat="1" applyFont="1" applyBorder="1" applyAlignment="1">
      <alignment horizontal="left" vertical="center" wrapText="1"/>
    </xf>
    <xf numFmtId="166" fontId="38" fillId="0" borderId="19" xfId="0" applyNumberFormat="1" applyFont="1" applyBorder="1" applyAlignment="1">
      <alignment horizontal="left" vertical="center" wrapText="1"/>
    </xf>
    <xf numFmtId="166" fontId="38" fillId="0" borderId="20" xfId="0" applyNumberFormat="1" applyFont="1" applyBorder="1" applyAlignment="1">
      <alignment horizontal="left" vertical="center" wrapText="1"/>
    </xf>
    <xf numFmtId="0" fontId="46" fillId="0" borderId="7" xfId="2" applyFont="1" applyBorder="1" applyAlignment="1">
      <alignment horizontal="left" vertical="center"/>
    </xf>
    <xf numFmtId="0" fontId="46" fillId="0" borderId="8" xfId="2" applyFont="1" applyBorder="1" applyAlignment="1">
      <alignment horizontal="left" vertical="center"/>
    </xf>
    <xf numFmtId="0" fontId="46" fillId="0" borderId="19" xfId="2" applyFont="1" applyBorder="1" applyAlignment="1">
      <alignment horizontal="left" vertical="center"/>
    </xf>
    <xf numFmtId="0" fontId="46" fillId="0" borderId="20" xfId="2" applyFont="1" applyBorder="1" applyAlignment="1">
      <alignment horizontal="left" vertical="center"/>
    </xf>
    <xf numFmtId="0" fontId="25" fillId="3" borderId="3" xfId="0" applyFont="1" applyFill="1" applyBorder="1" applyAlignment="1">
      <alignment horizontal="center" vertical="center" wrapText="1"/>
    </xf>
    <xf numFmtId="0" fontId="25" fillId="3" borderId="9" xfId="0" applyFont="1" applyFill="1" applyBorder="1" applyAlignment="1">
      <alignment horizontal="center" vertical="center" wrapText="1"/>
    </xf>
    <xf numFmtId="0" fontId="25" fillId="3" borderId="13" xfId="0" applyFont="1" applyFill="1" applyBorder="1" applyAlignment="1">
      <alignment horizontal="center" vertical="center" wrapText="1"/>
    </xf>
    <xf numFmtId="0" fontId="25" fillId="3" borderId="21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5" fillId="3" borderId="13" xfId="0" applyFont="1" applyFill="1" applyBorder="1" applyAlignment="1">
      <alignment horizontal="center" vertical="center"/>
    </xf>
    <xf numFmtId="0" fontId="25" fillId="3" borderId="21" xfId="0" applyFont="1" applyFill="1" applyBorder="1" applyAlignment="1">
      <alignment horizontal="center" vertical="center"/>
    </xf>
  </cellXfs>
  <cellStyles count="4">
    <cellStyle name="Comma" xfId="1" builtinId="3"/>
    <cellStyle name="Currency" xfId="3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442</xdr:row>
      <xdr:rowOff>0</xdr:rowOff>
    </xdr:from>
    <xdr:to>
      <xdr:col>4</xdr:col>
      <xdr:colOff>1200150</xdr:colOff>
      <xdr:row>442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A628159-F8C5-2BD0-C2A7-CCF5A4D1A66E}"/>
            </a:ext>
          </a:extLst>
        </xdr:cNvPr>
        <xdr:cNvCxnSpPr/>
      </xdr:nvCxnSpPr>
      <xdr:spPr>
        <a:xfrm flipV="1">
          <a:off x="3771900" y="22983825"/>
          <a:ext cx="17049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386</xdr:row>
      <xdr:rowOff>0</xdr:rowOff>
    </xdr:from>
    <xdr:to>
      <xdr:col>4</xdr:col>
      <xdr:colOff>1200150</xdr:colOff>
      <xdr:row>386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A6C1206-6977-4183-895E-EE9095B7C392}"/>
            </a:ext>
          </a:extLst>
        </xdr:cNvPr>
        <xdr:cNvCxnSpPr/>
      </xdr:nvCxnSpPr>
      <xdr:spPr>
        <a:xfrm flipV="1">
          <a:off x="3771900" y="22040850"/>
          <a:ext cx="17049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330</xdr:row>
      <xdr:rowOff>0</xdr:rowOff>
    </xdr:from>
    <xdr:to>
      <xdr:col>4</xdr:col>
      <xdr:colOff>1200150</xdr:colOff>
      <xdr:row>330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C8345DE-B71E-4B06-90B3-F5E4FE11019E}"/>
            </a:ext>
          </a:extLst>
        </xdr:cNvPr>
        <xdr:cNvCxnSpPr/>
      </xdr:nvCxnSpPr>
      <xdr:spPr>
        <a:xfrm flipV="1">
          <a:off x="3937000" y="21253450"/>
          <a:ext cx="17462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274</xdr:row>
      <xdr:rowOff>0</xdr:rowOff>
    </xdr:from>
    <xdr:to>
      <xdr:col>4</xdr:col>
      <xdr:colOff>1200150</xdr:colOff>
      <xdr:row>274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0593062-EDDA-41E9-8E03-7530CFDDC053}"/>
            </a:ext>
          </a:extLst>
        </xdr:cNvPr>
        <xdr:cNvCxnSpPr/>
      </xdr:nvCxnSpPr>
      <xdr:spPr>
        <a:xfrm flipV="1">
          <a:off x="3934781" y="21192169"/>
          <a:ext cx="1748622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274</xdr:row>
      <xdr:rowOff>0</xdr:rowOff>
    </xdr:from>
    <xdr:to>
      <xdr:col>4</xdr:col>
      <xdr:colOff>1200150</xdr:colOff>
      <xdr:row>274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0D5F694-B49B-4E84-B30A-250EBA964EBC}"/>
            </a:ext>
          </a:extLst>
        </xdr:cNvPr>
        <xdr:cNvCxnSpPr/>
      </xdr:nvCxnSpPr>
      <xdr:spPr>
        <a:xfrm flipV="1">
          <a:off x="3937000" y="8858250"/>
          <a:ext cx="17462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374880</xdr:colOff>
      <xdr:row>263</xdr:row>
      <xdr:rowOff>99457</xdr:rowOff>
    </xdr:from>
    <xdr:ext cx="1569300" cy="1882589"/>
    <xdr:pic>
      <xdr:nvPicPr>
        <xdr:cNvPr id="6" name="Picture 5">
          <a:extLst>
            <a:ext uri="{FF2B5EF4-FFF2-40B4-BE49-F238E27FC236}">
              <a16:creationId xmlns:a16="http://schemas.microsoft.com/office/drawing/2014/main" id="{DA55E386-485A-4ED9-AE2C-E8E1E50115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5476"/>
        <a:stretch/>
      </xdr:blipFill>
      <xdr:spPr>
        <a:xfrm>
          <a:off x="3947711" y="9218975"/>
          <a:ext cx="1569300" cy="1882589"/>
        </a:xfrm>
        <a:prstGeom prst="rect">
          <a:avLst/>
        </a:prstGeom>
      </xdr:spPr>
    </xdr:pic>
    <xdr:clientData/>
  </xdr:oneCellAnchor>
  <xdr:oneCellAnchor>
    <xdr:from>
      <xdr:col>4</xdr:col>
      <xdr:colOff>382530</xdr:colOff>
      <xdr:row>268</xdr:row>
      <xdr:rowOff>153011</xdr:rowOff>
    </xdr:from>
    <xdr:ext cx="1023314" cy="1052181"/>
    <xdr:pic>
      <xdr:nvPicPr>
        <xdr:cNvPr id="10" name="Picture 9">
          <a:extLst>
            <a:ext uri="{FF2B5EF4-FFF2-40B4-BE49-F238E27FC236}">
              <a16:creationId xmlns:a16="http://schemas.microsoft.com/office/drawing/2014/main" id="{4CF48946-4601-4041-9857-2A97CDAFF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5783" y="10159999"/>
          <a:ext cx="1023314" cy="10521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261905</xdr:colOff>
      <xdr:row>207</xdr:row>
      <xdr:rowOff>47050</xdr:rowOff>
    </xdr:from>
    <xdr:ext cx="1569300" cy="1882589"/>
    <xdr:pic>
      <xdr:nvPicPr>
        <xdr:cNvPr id="11" name="Picture 10">
          <a:extLst>
            <a:ext uri="{FF2B5EF4-FFF2-40B4-BE49-F238E27FC236}">
              <a16:creationId xmlns:a16="http://schemas.microsoft.com/office/drawing/2014/main" id="{5754662B-C1CA-410B-A43C-8F6E5F75C0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5476"/>
        <a:stretch/>
      </xdr:blipFill>
      <xdr:spPr>
        <a:xfrm>
          <a:off x="3849655" y="8852383"/>
          <a:ext cx="1569300" cy="1882589"/>
        </a:xfrm>
        <a:prstGeom prst="rect">
          <a:avLst/>
        </a:prstGeom>
      </xdr:spPr>
    </xdr:pic>
    <xdr:clientData/>
  </xdr:oneCellAnchor>
  <xdr:oneCellAnchor>
    <xdr:from>
      <xdr:col>4</xdr:col>
      <xdr:colOff>260120</xdr:colOff>
      <xdr:row>212</xdr:row>
      <xdr:rowOff>53553</xdr:rowOff>
    </xdr:from>
    <xdr:ext cx="1023314" cy="1052181"/>
    <xdr:pic>
      <xdr:nvPicPr>
        <xdr:cNvPr id="12" name="Picture 11">
          <a:extLst>
            <a:ext uri="{FF2B5EF4-FFF2-40B4-BE49-F238E27FC236}">
              <a16:creationId xmlns:a16="http://schemas.microsoft.com/office/drawing/2014/main" id="{B261AF99-B389-4B36-A189-A782CDCE9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373" y="9831023"/>
          <a:ext cx="1023314" cy="10521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261905</xdr:colOff>
      <xdr:row>152</xdr:row>
      <xdr:rowOff>47050</xdr:rowOff>
    </xdr:from>
    <xdr:ext cx="1569300" cy="1882589"/>
    <xdr:pic>
      <xdr:nvPicPr>
        <xdr:cNvPr id="8" name="Picture 7">
          <a:extLst>
            <a:ext uri="{FF2B5EF4-FFF2-40B4-BE49-F238E27FC236}">
              <a16:creationId xmlns:a16="http://schemas.microsoft.com/office/drawing/2014/main" id="{8DB0A8B2-C39B-4E00-AAA6-E15663DD86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5476"/>
        <a:stretch/>
      </xdr:blipFill>
      <xdr:spPr>
        <a:xfrm>
          <a:off x="3834736" y="18875183"/>
          <a:ext cx="1569300" cy="1882589"/>
        </a:xfrm>
        <a:prstGeom prst="rect">
          <a:avLst/>
        </a:prstGeom>
      </xdr:spPr>
    </xdr:pic>
    <xdr:clientData/>
  </xdr:oneCellAnchor>
  <xdr:oneCellAnchor>
    <xdr:from>
      <xdr:col>4</xdr:col>
      <xdr:colOff>260120</xdr:colOff>
      <xdr:row>157</xdr:row>
      <xdr:rowOff>53553</xdr:rowOff>
    </xdr:from>
    <xdr:ext cx="1023314" cy="1052181"/>
    <xdr:pic>
      <xdr:nvPicPr>
        <xdr:cNvPr id="9" name="Picture 8">
          <a:extLst>
            <a:ext uri="{FF2B5EF4-FFF2-40B4-BE49-F238E27FC236}">
              <a16:creationId xmlns:a16="http://schemas.microsoft.com/office/drawing/2014/main" id="{F4C8D919-245D-4055-8F86-B7D4D8FF7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373" y="19723252"/>
          <a:ext cx="1023314" cy="10521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261905</xdr:colOff>
      <xdr:row>97</xdr:row>
      <xdr:rowOff>47050</xdr:rowOff>
    </xdr:from>
    <xdr:ext cx="1569300" cy="1882589"/>
    <xdr:pic>
      <xdr:nvPicPr>
        <xdr:cNvPr id="13" name="Picture 12">
          <a:extLst>
            <a:ext uri="{FF2B5EF4-FFF2-40B4-BE49-F238E27FC236}">
              <a16:creationId xmlns:a16="http://schemas.microsoft.com/office/drawing/2014/main" id="{B5099000-E25B-4341-9231-3384314C35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5476"/>
        <a:stretch/>
      </xdr:blipFill>
      <xdr:spPr>
        <a:xfrm>
          <a:off x="3834736" y="18875183"/>
          <a:ext cx="1569300" cy="1882589"/>
        </a:xfrm>
        <a:prstGeom prst="rect">
          <a:avLst/>
        </a:prstGeom>
      </xdr:spPr>
    </xdr:pic>
    <xdr:clientData/>
  </xdr:oneCellAnchor>
  <xdr:oneCellAnchor>
    <xdr:from>
      <xdr:col>4</xdr:col>
      <xdr:colOff>260120</xdr:colOff>
      <xdr:row>102</xdr:row>
      <xdr:rowOff>53553</xdr:rowOff>
    </xdr:from>
    <xdr:ext cx="1023314" cy="1052181"/>
    <xdr:pic>
      <xdr:nvPicPr>
        <xdr:cNvPr id="14" name="Picture 13">
          <a:extLst>
            <a:ext uri="{FF2B5EF4-FFF2-40B4-BE49-F238E27FC236}">
              <a16:creationId xmlns:a16="http://schemas.microsoft.com/office/drawing/2014/main" id="{1B0C4A6D-EA25-4ECD-830D-071BDAA6F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373" y="19723252"/>
          <a:ext cx="1023314" cy="10521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261905</xdr:colOff>
      <xdr:row>42</xdr:row>
      <xdr:rowOff>47050</xdr:rowOff>
    </xdr:from>
    <xdr:ext cx="1569300" cy="1882589"/>
    <xdr:pic>
      <xdr:nvPicPr>
        <xdr:cNvPr id="15" name="Picture 14">
          <a:extLst>
            <a:ext uri="{FF2B5EF4-FFF2-40B4-BE49-F238E27FC236}">
              <a16:creationId xmlns:a16="http://schemas.microsoft.com/office/drawing/2014/main" id="{6F03328A-7AD5-430B-97B3-CFF69912E0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5476"/>
        <a:stretch/>
      </xdr:blipFill>
      <xdr:spPr>
        <a:xfrm>
          <a:off x="3837958" y="19030208"/>
          <a:ext cx="1569300" cy="1882589"/>
        </a:xfrm>
        <a:prstGeom prst="rect">
          <a:avLst/>
        </a:prstGeom>
      </xdr:spPr>
    </xdr:pic>
    <xdr:clientData/>
  </xdr:oneCellAnchor>
  <xdr:oneCellAnchor>
    <xdr:from>
      <xdr:col>4</xdr:col>
      <xdr:colOff>260120</xdr:colOff>
      <xdr:row>47</xdr:row>
      <xdr:rowOff>53553</xdr:rowOff>
    </xdr:from>
    <xdr:ext cx="1023314" cy="1052181"/>
    <xdr:pic>
      <xdr:nvPicPr>
        <xdr:cNvPr id="16" name="Picture 15">
          <a:extLst>
            <a:ext uri="{FF2B5EF4-FFF2-40B4-BE49-F238E27FC236}">
              <a16:creationId xmlns:a16="http://schemas.microsoft.com/office/drawing/2014/main" id="{9B3D50CA-2C94-4B8E-8B90-FC98F4255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9681" y="19872237"/>
          <a:ext cx="1023314" cy="10521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178</xdr:row>
      <xdr:rowOff>0</xdr:rowOff>
    </xdr:from>
    <xdr:to>
      <xdr:col>4</xdr:col>
      <xdr:colOff>1200150</xdr:colOff>
      <xdr:row>178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310A7BE-8C18-4B16-91B5-505E55EDCF64}"/>
            </a:ext>
          </a:extLst>
        </xdr:cNvPr>
        <xdr:cNvCxnSpPr/>
      </xdr:nvCxnSpPr>
      <xdr:spPr>
        <a:xfrm flipV="1">
          <a:off x="3937000" y="11118850"/>
          <a:ext cx="17462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191265</xdr:colOff>
      <xdr:row>172</xdr:row>
      <xdr:rowOff>45903</xdr:rowOff>
    </xdr:from>
    <xdr:ext cx="1023314" cy="1052181"/>
    <xdr:pic>
      <xdr:nvPicPr>
        <xdr:cNvPr id="5" name="Picture 4">
          <a:extLst>
            <a:ext uri="{FF2B5EF4-FFF2-40B4-BE49-F238E27FC236}">
              <a16:creationId xmlns:a16="http://schemas.microsoft.com/office/drawing/2014/main" id="{2B325537-9744-478A-B6AB-E30C4EA0C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4518" y="17473975"/>
          <a:ext cx="1023314" cy="10521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61203</xdr:colOff>
      <xdr:row>167</xdr:row>
      <xdr:rowOff>15301</xdr:rowOff>
    </xdr:from>
    <xdr:ext cx="1569300" cy="1882589"/>
    <xdr:pic>
      <xdr:nvPicPr>
        <xdr:cNvPr id="6" name="Picture 5">
          <a:extLst>
            <a:ext uri="{FF2B5EF4-FFF2-40B4-BE49-F238E27FC236}">
              <a16:creationId xmlns:a16="http://schemas.microsoft.com/office/drawing/2014/main" id="{7975105E-C383-4E0F-99A0-4432F5F1B4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5476"/>
        <a:stretch/>
      </xdr:blipFill>
      <xdr:spPr>
        <a:xfrm>
          <a:off x="3634034" y="16487048"/>
          <a:ext cx="1569300" cy="1882589"/>
        </a:xfrm>
        <a:prstGeom prst="rect">
          <a:avLst/>
        </a:prstGeom>
      </xdr:spPr>
    </xdr:pic>
    <xdr:clientData/>
  </xdr:oneCellAnchor>
  <xdr:twoCellAnchor>
    <xdr:from>
      <xdr:col>3</xdr:col>
      <xdr:colOff>361950</xdr:colOff>
      <xdr:row>133</xdr:row>
      <xdr:rowOff>0</xdr:rowOff>
    </xdr:from>
    <xdr:to>
      <xdr:col>4</xdr:col>
      <xdr:colOff>1200150</xdr:colOff>
      <xdr:row>133</xdr:row>
      <xdr:rowOff>9525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A90F019-62B1-4B25-A856-4E2CF2A2073F}"/>
            </a:ext>
          </a:extLst>
        </xdr:cNvPr>
        <xdr:cNvCxnSpPr/>
      </xdr:nvCxnSpPr>
      <xdr:spPr>
        <a:xfrm flipV="1">
          <a:off x="3934781" y="16739518"/>
          <a:ext cx="1748622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374879</xdr:colOff>
      <xdr:row>127</xdr:row>
      <xdr:rowOff>45903</xdr:rowOff>
    </xdr:from>
    <xdr:ext cx="1023314" cy="1052181"/>
    <xdr:pic>
      <xdr:nvPicPr>
        <xdr:cNvPr id="8" name="Picture 7">
          <a:extLst>
            <a:ext uri="{FF2B5EF4-FFF2-40B4-BE49-F238E27FC236}">
              <a16:creationId xmlns:a16="http://schemas.microsoft.com/office/drawing/2014/main" id="{EBFFCC78-8F82-42DC-AA44-FB71EB9ED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8132" y="8010180"/>
          <a:ext cx="1023314" cy="10521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321325</xdr:colOff>
      <xdr:row>122</xdr:row>
      <xdr:rowOff>53554</xdr:rowOff>
    </xdr:from>
    <xdr:ext cx="1569300" cy="1882589"/>
    <xdr:pic>
      <xdr:nvPicPr>
        <xdr:cNvPr id="9" name="Picture 8">
          <a:extLst>
            <a:ext uri="{FF2B5EF4-FFF2-40B4-BE49-F238E27FC236}">
              <a16:creationId xmlns:a16="http://schemas.microsoft.com/office/drawing/2014/main" id="{80626455-5BFE-4ACF-A3B4-8D7FAAFCFF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5476"/>
        <a:stretch/>
      </xdr:blipFill>
      <xdr:spPr>
        <a:xfrm>
          <a:off x="3894156" y="7130361"/>
          <a:ext cx="1569300" cy="1882589"/>
        </a:xfrm>
        <a:prstGeom prst="rect">
          <a:avLst/>
        </a:prstGeom>
      </xdr:spPr>
    </xdr:pic>
    <xdr:clientData/>
  </xdr:oneCellAnchor>
  <xdr:twoCellAnchor>
    <xdr:from>
      <xdr:col>3</xdr:col>
      <xdr:colOff>361950</xdr:colOff>
      <xdr:row>133</xdr:row>
      <xdr:rowOff>0</xdr:rowOff>
    </xdr:from>
    <xdr:to>
      <xdr:col>4</xdr:col>
      <xdr:colOff>1200150</xdr:colOff>
      <xdr:row>133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5BF1137-F027-4DB2-9004-B19883FC2569}"/>
            </a:ext>
          </a:extLst>
        </xdr:cNvPr>
        <xdr:cNvCxnSpPr/>
      </xdr:nvCxnSpPr>
      <xdr:spPr>
        <a:xfrm flipV="1">
          <a:off x="3934781" y="18437952"/>
          <a:ext cx="1748622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88</xdr:row>
      <xdr:rowOff>0</xdr:rowOff>
    </xdr:from>
    <xdr:to>
      <xdr:col>4</xdr:col>
      <xdr:colOff>1200150</xdr:colOff>
      <xdr:row>88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F34DF33-182C-4761-9663-572C9A090BD3}"/>
            </a:ext>
          </a:extLst>
        </xdr:cNvPr>
        <xdr:cNvCxnSpPr/>
      </xdr:nvCxnSpPr>
      <xdr:spPr>
        <a:xfrm flipV="1">
          <a:off x="3934781" y="17634639"/>
          <a:ext cx="1748622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374879</xdr:colOff>
      <xdr:row>82</xdr:row>
      <xdr:rowOff>45903</xdr:rowOff>
    </xdr:from>
    <xdr:ext cx="1023314" cy="1052181"/>
    <xdr:pic>
      <xdr:nvPicPr>
        <xdr:cNvPr id="3" name="Picture 2">
          <a:extLst>
            <a:ext uri="{FF2B5EF4-FFF2-40B4-BE49-F238E27FC236}">
              <a16:creationId xmlns:a16="http://schemas.microsoft.com/office/drawing/2014/main" id="{A978A63A-5FF0-41C9-8D2E-C2FFDF136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8132" y="16601807"/>
          <a:ext cx="1023314" cy="10521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321325</xdr:colOff>
      <xdr:row>77</xdr:row>
      <xdr:rowOff>53554</xdr:rowOff>
    </xdr:from>
    <xdr:ext cx="1569300" cy="1882589"/>
    <xdr:pic>
      <xdr:nvPicPr>
        <xdr:cNvPr id="11" name="Picture 10">
          <a:extLst>
            <a:ext uri="{FF2B5EF4-FFF2-40B4-BE49-F238E27FC236}">
              <a16:creationId xmlns:a16="http://schemas.microsoft.com/office/drawing/2014/main" id="{2835E5E5-65B9-456E-9FDC-F496E8BE19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5476"/>
        <a:stretch/>
      </xdr:blipFill>
      <xdr:spPr>
        <a:xfrm>
          <a:off x="3894156" y="15721988"/>
          <a:ext cx="1569300" cy="1882589"/>
        </a:xfrm>
        <a:prstGeom prst="rect">
          <a:avLst/>
        </a:prstGeom>
      </xdr:spPr>
    </xdr:pic>
    <xdr:clientData/>
  </xdr:oneCellAnchor>
  <xdr:twoCellAnchor>
    <xdr:from>
      <xdr:col>3</xdr:col>
      <xdr:colOff>361950</xdr:colOff>
      <xdr:row>88</xdr:row>
      <xdr:rowOff>0</xdr:rowOff>
    </xdr:from>
    <xdr:to>
      <xdr:col>4</xdr:col>
      <xdr:colOff>1200150</xdr:colOff>
      <xdr:row>88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4899F13-2146-4B64-89CC-BBEA8FDBD11D}"/>
            </a:ext>
          </a:extLst>
        </xdr:cNvPr>
        <xdr:cNvCxnSpPr/>
      </xdr:nvCxnSpPr>
      <xdr:spPr>
        <a:xfrm flipV="1">
          <a:off x="3934781" y="17634639"/>
          <a:ext cx="1748622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43</xdr:row>
      <xdr:rowOff>0</xdr:rowOff>
    </xdr:from>
    <xdr:to>
      <xdr:col>4</xdr:col>
      <xdr:colOff>1200150</xdr:colOff>
      <xdr:row>43</xdr:row>
      <xdr:rowOff>9525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DEE0586-CEF5-4D3A-A04E-E02E199C6955}"/>
            </a:ext>
          </a:extLst>
        </xdr:cNvPr>
        <xdr:cNvCxnSpPr/>
      </xdr:nvCxnSpPr>
      <xdr:spPr>
        <a:xfrm flipV="1">
          <a:off x="3934781" y="17634639"/>
          <a:ext cx="1748622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374879</xdr:colOff>
      <xdr:row>37</xdr:row>
      <xdr:rowOff>45903</xdr:rowOff>
    </xdr:from>
    <xdr:ext cx="1023314" cy="1052181"/>
    <xdr:pic>
      <xdr:nvPicPr>
        <xdr:cNvPr id="14" name="Picture 13">
          <a:extLst>
            <a:ext uri="{FF2B5EF4-FFF2-40B4-BE49-F238E27FC236}">
              <a16:creationId xmlns:a16="http://schemas.microsoft.com/office/drawing/2014/main" id="{0A8A5FA8-B761-4420-84FC-54FDF2BC0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8132" y="16601807"/>
          <a:ext cx="1023314" cy="10521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321325</xdr:colOff>
      <xdr:row>32</xdr:row>
      <xdr:rowOff>53554</xdr:rowOff>
    </xdr:from>
    <xdr:ext cx="1569300" cy="1882589"/>
    <xdr:pic>
      <xdr:nvPicPr>
        <xdr:cNvPr id="15" name="Picture 14">
          <a:extLst>
            <a:ext uri="{FF2B5EF4-FFF2-40B4-BE49-F238E27FC236}">
              <a16:creationId xmlns:a16="http://schemas.microsoft.com/office/drawing/2014/main" id="{58680822-175D-44DE-A989-1FC161BE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5476"/>
        <a:stretch/>
      </xdr:blipFill>
      <xdr:spPr>
        <a:xfrm>
          <a:off x="3894156" y="15721988"/>
          <a:ext cx="1569300" cy="1882589"/>
        </a:xfrm>
        <a:prstGeom prst="rect">
          <a:avLst/>
        </a:prstGeom>
      </xdr:spPr>
    </xdr:pic>
    <xdr:clientData/>
  </xdr:oneCellAnchor>
  <xdr:twoCellAnchor>
    <xdr:from>
      <xdr:col>3</xdr:col>
      <xdr:colOff>361950</xdr:colOff>
      <xdr:row>43</xdr:row>
      <xdr:rowOff>0</xdr:rowOff>
    </xdr:from>
    <xdr:to>
      <xdr:col>4</xdr:col>
      <xdr:colOff>1200150</xdr:colOff>
      <xdr:row>43</xdr:row>
      <xdr:rowOff>9525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8BF52F1-5C27-4731-853B-974904B84D51}"/>
            </a:ext>
          </a:extLst>
        </xdr:cNvPr>
        <xdr:cNvCxnSpPr/>
      </xdr:nvCxnSpPr>
      <xdr:spPr>
        <a:xfrm flipV="1">
          <a:off x="3934781" y="17634639"/>
          <a:ext cx="1748622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ace%20BiAS\AppData\Local\Packages\5319275A.WhatsAppDesktop_cv1g1gvanyjgm\LocalState\sessions\521A5DE2A9A4F0F09A1B08602432A7325367DB5F\transfers\2025-46\PERHITUNGAN%20GREAT%20ESTERN%201%20batam%20(3).xlsx" TargetMode="External"/><Relationship Id="rId1" Type="http://schemas.openxmlformats.org/officeDocument/2006/relationships/externalLinkPath" Target="file:///C:\Users\Grace%20BiAS\AppData\Local\Packages\5319275A.WhatsAppDesktop_cv1g1gvanyjgm\LocalState\sessions\521A5DE2A9A4F0F09A1B08602432A7325367DB5F\transfers\2025-46\PERHITUNGAN%20GREAT%20ESTERN%201%20bat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TAM 1"/>
      <sheetName val="OKT 2025"/>
      <sheetName val="NOV 2025"/>
    </sheetNames>
    <sheetDataSet>
      <sheetData sheetId="0"/>
      <sheetData sheetId="1"/>
      <sheetData sheetId="2">
        <row r="15">
          <cell r="J15">
            <v>4117</v>
          </cell>
          <cell r="K15">
            <v>7487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iasbst.com/" TargetMode="External"/><Relationship Id="rId13" Type="http://schemas.openxmlformats.org/officeDocument/2006/relationships/hyperlink" Target="http://www.biasbst.com/" TargetMode="External"/><Relationship Id="rId18" Type="http://schemas.openxmlformats.org/officeDocument/2006/relationships/hyperlink" Target="http://www.biasbst.com/" TargetMode="External"/><Relationship Id="rId3" Type="http://schemas.openxmlformats.org/officeDocument/2006/relationships/hyperlink" Target="http://www.biasbst.com/" TargetMode="External"/><Relationship Id="rId21" Type="http://schemas.openxmlformats.org/officeDocument/2006/relationships/hyperlink" Target="http://www.biasbst.com/" TargetMode="External"/><Relationship Id="rId7" Type="http://schemas.openxmlformats.org/officeDocument/2006/relationships/hyperlink" Target="http://www.biasbst.com/" TargetMode="External"/><Relationship Id="rId12" Type="http://schemas.openxmlformats.org/officeDocument/2006/relationships/hyperlink" Target="http://www.biasbst.com/" TargetMode="External"/><Relationship Id="rId17" Type="http://schemas.openxmlformats.org/officeDocument/2006/relationships/hyperlink" Target="http://www.biasbst.com/" TargetMode="External"/><Relationship Id="rId2" Type="http://schemas.openxmlformats.org/officeDocument/2006/relationships/hyperlink" Target="http://www.biasbst.com/" TargetMode="External"/><Relationship Id="rId16" Type="http://schemas.openxmlformats.org/officeDocument/2006/relationships/hyperlink" Target="http://www.biasbst.com/" TargetMode="External"/><Relationship Id="rId20" Type="http://schemas.openxmlformats.org/officeDocument/2006/relationships/hyperlink" Target="http://www.biasbst.com/" TargetMode="External"/><Relationship Id="rId1" Type="http://schemas.openxmlformats.org/officeDocument/2006/relationships/hyperlink" Target="http://www.biasbst.com/" TargetMode="External"/><Relationship Id="rId6" Type="http://schemas.openxmlformats.org/officeDocument/2006/relationships/hyperlink" Target="http://www.biasbst.com/" TargetMode="External"/><Relationship Id="rId11" Type="http://schemas.openxmlformats.org/officeDocument/2006/relationships/hyperlink" Target="http://www.biasbst.com/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://www.biasbst.com/" TargetMode="External"/><Relationship Id="rId15" Type="http://schemas.openxmlformats.org/officeDocument/2006/relationships/hyperlink" Target="http://www.biasbst.com/" TargetMode="External"/><Relationship Id="rId23" Type="http://schemas.openxmlformats.org/officeDocument/2006/relationships/hyperlink" Target="http://www.biasbst.com/" TargetMode="External"/><Relationship Id="rId10" Type="http://schemas.openxmlformats.org/officeDocument/2006/relationships/hyperlink" Target="http://www.biasbst.com/" TargetMode="External"/><Relationship Id="rId19" Type="http://schemas.openxmlformats.org/officeDocument/2006/relationships/hyperlink" Target="http://www.biasbst.com/" TargetMode="External"/><Relationship Id="rId4" Type="http://schemas.openxmlformats.org/officeDocument/2006/relationships/hyperlink" Target="http://www.biasbst.com/" TargetMode="External"/><Relationship Id="rId9" Type="http://schemas.openxmlformats.org/officeDocument/2006/relationships/hyperlink" Target="http://www.biasbst.com/" TargetMode="External"/><Relationship Id="rId14" Type="http://schemas.openxmlformats.org/officeDocument/2006/relationships/hyperlink" Target="http://www.biasbst.com/" TargetMode="External"/><Relationship Id="rId22" Type="http://schemas.openxmlformats.org/officeDocument/2006/relationships/hyperlink" Target="http://www.biasbst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iasbst.com/" TargetMode="External"/><Relationship Id="rId13" Type="http://schemas.openxmlformats.org/officeDocument/2006/relationships/hyperlink" Target="http://www.biasbst.com/" TargetMode="External"/><Relationship Id="rId18" Type="http://schemas.openxmlformats.org/officeDocument/2006/relationships/hyperlink" Target="http://www.biasbst.com/" TargetMode="External"/><Relationship Id="rId3" Type="http://schemas.openxmlformats.org/officeDocument/2006/relationships/hyperlink" Target="http://www.biasbst.com/" TargetMode="External"/><Relationship Id="rId21" Type="http://schemas.openxmlformats.org/officeDocument/2006/relationships/hyperlink" Target="http://www.biasbst.com/" TargetMode="External"/><Relationship Id="rId7" Type="http://schemas.openxmlformats.org/officeDocument/2006/relationships/hyperlink" Target="http://www.biasbst.com/" TargetMode="External"/><Relationship Id="rId12" Type="http://schemas.openxmlformats.org/officeDocument/2006/relationships/hyperlink" Target="http://www.biasbst.com/" TargetMode="External"/><Relationship Id="rId17" Type="http://schemas.openxmlformats.org/officeDocument/2006/relationships/hyperlink" Target="http://www.biasbst.com/" TargetMode="External"/><Relationship Id="rId2" Type="http://schemas.openxmlformats.org/officeDocument/2006/relationships/hyperlink" Target="http://www.biasbst.com/" TargetMode="External"/><Relationship Id="rId16" Type="http://schemas.openxmlformats.org/officeDocument/2006/relationships/hyperlink" Target="http://www.biasbst.com/" TargetMode="External"/><Relationship Id="rId20" Type="http://schemas.openxmlformats.org/officeDocument/2006/relationships/hyperlink" Target="http://www.biasbst.com/" TargetMode="External"/><Relationship Id="rId1" Type="http://schemas.openxmlformats.org/officeDocument/2006/relationships/hyperlink" Target="http://www.biasbst.com/" TargetMode="External"/><Relationship Id="rId6" Type="http://schemas.openxmlformats.org/officeDocument/2006/relationships/hyperlink" Target="http://www.biasbst.com/" TargetMode="External"/><Relationship Id="rId11" Type="http://schemas.openxmlformats.org/officeDocument/2006/relationships/hyperlink" Target="http://www.biasbst.com/" TargetMode="External"/><Relationship Id="rId24" Type="http://schemas.openxmlformats.org/officeDocument/2006/relationships/printerSettings" Target="../printerSettings/printerSettings2.bin"/><Relationship Id="rId5" Type="http://schemas.openxmlformats.org/officeDocument/2006/relationships/hyperlink" Target="http://www.biasbst.com/" TargetMode="External"/><Relationship Id="rId15" Type="http://schemas.openxmlformats.org/officeDocument/2006/relationships/hyperlink" Target="http://www.biasbst.com/" TargetMode="External"/><Relationship Id="rId23" Type="http://schemas.openxmlformats.org/officeDocument/2006/relationships/hyperlink" Target="http://www.biasbst.com/" TargetMode="External"/><Relationship Id="rId10" Type="http://schemas.openxmlformats.org/officeDocument/2006/relationships/hyperlink" Target="http://www.biasbst.com/" TargetMode="External"/><Relationship Id="rId19" Type="http://schemas.openxmlformats.org/officeDocument/2006/relationships/hyperlink" Target="http://www.biasbst.com/" TargetMode="External"/><Relationship Id="rId4" Type="http://schemas.openxmlformats.org/officeDocument/2006/relationships/hyperlink" Target="http://www.biasbst.com/" TargetMode="External"/><Relationship Id="rId9" Type="http://schemas.openxmlformats.org/officeDocument/2006/relationships/hyperlink" Target="http://www.biasbst.com/" TargetMode="External"/><Relationship Id="rId14" Type="http://schemas.openxmlformats.org/officeDocument/2006/relationships/hyperlink" Target="http://www.biasbst.com/" TargetMode="External"/><Relationship Id="rId22" Type="http://schemas.openxmlformats.org/officeDocument/2006/relationships/hyperlink" Target="http://www.biasbst.com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iasbst.com/" TargetMode="External"/><Relationship Id="rId13" Type="http://schemas.openxmlformats.org/officeDocument/2006/relationships/hyperlink" Target="http://www.biasbst.com/" TargetMode="External"/><Relationship Id="rId18" Type="http://schemas.openxmlformats.org/officeDocument/2006/relationships/hyperlink" Target="http://www.biasbst.com/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http://www.biasbst.com/" TargetMode="External"/><Relationship Id="rId21" Type="http://schemas.openxmlformats.org/officeDocument/2006/relationships/hyperlink" Target="http://www.biasbst.com/" TargetMode="External"/><Relationship Id="rId7" Type="http://schemas.openxmlformats.org/officeDocument/2006/relationships/hyperlink" Target="http://www.biasbst.com/" TargetMode="External"/><Relationship Id="rId12" Type="http://schemas.openxmlformats.org/officeDocument/2006/relationships/hyperlink" Target="http://www.biasbst.com/" TargetMode="External"/><Relationship Id="rId17" Type="http://schemas.openxmlformats.org/officeDocument/2006/relationships/hyperlink" Target="http://www.biasbst.com/" TargetMode="External"/><Relationship Id="rId25" Type="http://schemas.openxmlformats.org/officeDocument/2006/relationships/hyperlink" Target="http://www.biasbst.com/" TargetMode="External"/><Relationship Id="rId2" Type="http://schemas.openxmlformats.org/officeDocument/2006/relationships/hyperlink" Target="http://www.biasbst.com/" TargetMode="External"/><Relationship Id="rId16" Type="http://schemas.openxmlformats.org/officeDocument/2006/relationships/hyperlink" Target="http://www.biasbst.com/" TargetMode="External"/><Relationship Id="rId20" Type="http://schemas.openxmlformats.org/officeDocument/2006/relationships/hyperlink" Target="http://www.biasbst.com/" TargetMode="External"/><Relationship Id="rId1" Type="http://schemas.openxmlformats.org/officeDocument/2006/relationships/hyperlink" Target="http://www.biasbst.com/" TargetMode="External"/><Relationship Id="rId6" Type="http://schemas.openxmlformats.org/officeDocument/2006/relationships/hyperlink" Target="http://www.biasbst.com/" TargetMode="External"/><Relationship Id="rId11" Type="http://schemas.openxmlformats.org/officeDocument/2006/relationships/hyperlink" Target="http://www.biasbst.com/" TargetMode="External"/><Relationship Id="rId24" Type="http://schemas.openxmlformats.org/officeDocument/2006/relationships/hyperlink" Target="http://www.biasbst.com/" TargetMode="External"/><Relationship Id="rId5" Type="http://schemas.openxmlformats.org/officeDocument/2006/relationships/hyperlink" Target="http://www.biasbst.com/" TargetMode="External"/><Relationship Id="rId15" Type="http://schemas.openxmlformats.org/officeDocument/2006/relationships/hyperlink" Target="http://www.biasbst.com/" TargetMode="External"/><Relationship Id="rId23" Type="http://schemas.openxmlformats.org/officeDocument/2006/relationships/hyperlink" Target="http://www.biasbst.com/" TargetMode="External"/><Relationship Id="rId10" Type="http://schemas.openxmlformats.org/officeDocument/2006/relationships/hyperlink" Target="http://www.biasbst.com/" TargetMode="External"/><Relationship Id="rId19" Type="http://schemas.openxmlformats.org/officeDocument/2006/relationships/hyperlink" Target="http://www.biasbst.com/" TargetMode="External"/><Relationship Id="rId4" Type="http://schemas.openxmlformats.org/officeDocument/2006/relationships/hyperlink" Target="http://www.biasbst.com/" TargetMode="External"/><Relationship Id="rId9" Type="http://schemas.openxmlformats.org/officeDocument/2006/relationships/hyperlink" Target="http://www.biasbst.com/" TargetMode="External"/><Relationship Id="rId14" Type="http://schemas.openxmlformats.org/officeDocument/2006/relationships/hyperlink" Target="http://www.biasbst.com/" TargetMode="External"/><Relationship Id="rId22" Type="http://schemas.openxmlformats.org/officeDocument/2006/relationships/hyperlink" Target="http://www.biasbst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iasbst.com/" TargetMode="External"/><Relationship Id="rId13" Type="http://schemas.openxmlformats.org/officeDocument/2006/relationships/hyperlink" Target="http://www.biasbst.com/" TargetMode="External"/><Relationship Id="rId3" Type="http://schemas.openxmlformats.org/officeDocument/2006/relationships/hyperlink" Target="http://www.biasbst.com/" TargetMode="External"/><Relationship Id="rId7" Type="http://schemas.openxmlformats.org/officeDocument/2006/relationships/hyperlink" Target="http://www.biasbst.com/" TargetMode="External"/><Relationship Id="rId12" Type="http://schemas.openxmlformats.org/officeDocument/2006/relationships/hyperlink" Target="http://www.biasbst.com/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biasbst.com/" TargetMode="External"/><Relationship Id="rId16" Type="http://schemas.openxmlformats.org/officeDocument/2006/relationships/printerSettings" Target="../printerSettings/printerSettings4.bin"/><Relationship Id="rId1" Type="http://schemas.openxmlformats.org/officeDocument/2006/relationships/hyperlink" Target="http://www.biasbst.com/" TargetMode="External"/><Relationship Id="rId6" Type="http://schemas.openxmlformats.org/officeDocument/2006/relationships/hyperlink" Target="http://www.biasbst.com/" TargetMode="External"/><Relationship Id="rId11" Type="http://schemas.openxmlformats.org/officeDocument/2006/relationships/hyperlink" Target="http://www.biasbst.com/" TargetMode="External"/><Relationship Id="rId5" Type="http://schemas.openxmlformats.org/officeDocument/2006/relationships/hyperlink" Target="http://www.biasbst.com/" TargetMode="External"/><Relationship Id="rId15" Type="http://schemas.openxmlformats.org/officeDocument/2006/relationships/hyperlink" Target="http://www.biasbst.com/" TargetMode="External"/><Relationship Id="rId10" Type="http://schemas.openxmlformats.org/officeDocument/2006/relationships/hyperlink" Target="http://www.biasbst.com/" TargetMode="External"/><Relationship Id="rId4" Type="http://schemas.openxmlformats.org/officeDocument/2006/relationships/hyperlink" Target="http://www.biasbst.com/" TargetMode="External"/><Relationship Id="rId9" Type="http://schemas.openxmlformats.org/officeDocument/2006/relationships/hyperlink" Target="http://www.biasbst.com/" TargetMode="External"/><Relationship Id="rId14" Type="http://schemas.openxmlformats.org/officeDocument/2006/relationships/hyperlink" Target="http://www.biasbst.com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iasbst.com/" TargetMode="External"/><Relationship Id="rId3" Type="http://schemas.openxmlformats.org/officeDocument/2006/relationships/hyperlink" Target="http://www.biasbst.com/" TargetMode="External"/><Relationship Id="rId7" Type="http://schemas.openxmlformats.org/officeDocument/2006/relationships/hyperlink" Target="http://www.biasbst.com/" TargetMode="External"/><Relationship Id="rId2" Type="http://schemas.openxmlformats.org/officeDocument/2006/relationships/hyperlink" Target="http://www.biasbst.com/" TargetMode="External"/><Relationship Id="rId1" Type="http://schemas.openxmlformats.org/officeDocument/2006/relationships/hyperlink" Target="http://www.biasbst.com/" TargetMode="External"/><Relationship Id="rId6" Type="http://schemas.openxmlformats.org/officeDocument/2006/relationships/hyperlink" Target="http://www.biasbst.com/" TargetMode="External"/><Relationship Id="rId5" Type="http://schemas.openxmlformats.org/officeDocument/2006/relationships/hyperlink" Target="http://www.biasbst.com/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http://www.biasbst.com/" TargetMode="External"/><Relationship Id="rId9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185"/>
  <sheetViews>
    <sheetView zoomScale="90" zoomScaleNormal="90" workbookViewId="0">
      <selection activeCell="K46" sqref="K46"/>
    </sheetView>
  </sheetViews>
  <sheetFormatPr defaultColWidth="9.1796875" defaultRowHeight="14.5" x14ac:dyDescent="0.35"/>
  <cols>
    <col min="1" max="1" width="4.1796875" customWidth="1"/>
    <col min="2" max="2" width="37.7265625" customWidth="1"/>
    <col min="3" max="3" width="8.26953125" customWidth="1"/>
    <col min="4" max="4" width="13" customWidth="1"/>
    <col min="5" max="5" width="23.7265625" style="50" customWidth="1"/>
    <col min="7" max="7" width="12.81640625" bestFit="1" customWidth="1"/>
    <col min="9" max="9" width="15.26953125" customWidth="1"/>
    <col min="10" max="10" width="13.453125" bestFit="1" customWidth="1"/>
  </cols>
  <sheetData>
    <row r="1" spans="1:10" ht="15.5" thickTop="1" thickBot="1" x14ac:dyDescent="0.4">
      <c r="A1" s="215" t="s">
        <v>1</v>
      </c>
      <c r="B1" s="216"/>
      <c r="C1" s="3"/>
      <c r="D1" s="113" t="s">
        <v>0</v>
      </c>
      <c r="E1" s="114" t="s">
        <v>196</v>
      </c>
    </row>
    <row r="2" spans="1:10" ht="15.5" thickTop="1" thickBot="1" x14ac:dyDescent="0.4">
      <c r="A2" s="217"/>
      <c r="B2" s="218"/>
      <c r="C2" s="3"/>
      <c r="D2" s="115" t="s">
        <v>2</v>
      </c>
      <c r="E2" s="114">
        <v>46007</v>
      </c>
    </row>
    <row r="3" spans="1:10" ht="15.5" thickTop="1" thickBot="1" x14ac:dyDescent="0.4">
      <c r="A3" s="237" t="s">
        <v>104</v>
      </c>
      <c r="B3" s="238"/>
      <c r="C3" s="3"/>
      <c r="D3" s="221" t="s">
        <v>4</v>
      </c>
      <c r="E3" s="222"/>
    </row>
    <row r="4" spans="1:10" ht="15.5" thickTop="1" thickBot="1" x14ac:dyDescent="0.4">
      <c r="A4" s="237" t="s">
        <v>77</v>
      </c>
      <c r="B4" s="238"/>
      <c r="C4" s="3"/>
      <c r="D4" s="239" t="s">
        <v>37</v>
      </c>
      <c r="E4" s="240"/>
    </row>
    <row r="5" spans="1:10" ht="15.5" thickTop="1" thickBot="1" x14ac:dyDescent="0.4">
      <c r="A5" s="237" t="s">
        <v>116</v>
      </c>
      <c r="B5" s="238"/>
      <c r="C5" s="3"/>
      <c r="D5" s="241" t="s">
        <v>38</v>
      </c>
      <c r="E5" s="242"/>
    </row>
    <row r="6" spans="1:10" ht="15.5" thickTop="1" thickBot="1" x14ac:dyDescent="0.4">
      <c r="A6" s="243" t="s">
        <v>11</v>
      </c>
      <c r="B6" s="244"/>
      <c r="D6" s="245" t="s">
        <v>39</v>
      </c>
      <c r="E6" s="246"/>
      <c r="J6" s="50"/>
    </row>
    <row r="7" spans="1:10" ht="15.5" thickTop="1" thickBot="1" x14ac:dyDescent="0.4">
      <c r="A7" s="219" t="s">
        <v>79</v>
      </c>
      <c r="B7" s="220"/>
      <c r="C7" s="3"/>
      <c r="D7" s="221" t="s">
        <v>40</v>
      </c>
      <c r="E7" s="222"/>
    </row>
    <row r="8" spans="1:10" ht="30" thickTop="1" x14ac:dyDescent="0.55000000000000004">
      <c r="A8" s="223" t="s">
        <v>87</v>
      </c>
      <c r="B8" s="223"/>
      <c r="C8" s="223"/>
      <c r="D8" s="223"/>
      <c r="E8" s="223"/>
    </row>
    <row r="9" spans="1:10" ht="15" thickBot="1" x14ac:dyDescent="0.4">
      <c r="A9" s="224" t="s">
        <v>195</v>
      </c>
      <c r="B9" s="224"/>
      <c r="C9" s="3"/>
      <c r="D9" s="3"/>
      <c r="E9" s="15"/>
    </row>
    <row r="10" spans="1:10" ht="15.5" thickTop="1" thickBot="1" x14ac:dyDescent="0.4">
      <c r="A10" s="16" t="s">
        <v>14</v>
      </c>
      <c r="B10" s="225" t="s">
        <v>15</v>
      </c>
      <c r="C10" s="226"/>
      <c r="D10" s="227"/>
      <c r="E10" s="17" t="s">
        <v>16</v>
      </c>
    </row>
    <row r="11" spans="1:10" ht="15" thickTop="1" x14ac:dyDescent="0.35">
      <c r="A11" s="228">
        <v>1</v>
      </c>
      <c r="B11" s="19" t="s">
        <v>47</v>
      </c>
      <c r="C11" s="20"/>
      <c r="D11" s="20"/>
      <c r="E11" s="21">
        <v>2500000</v>
      </c>
    </row>
    <row r="12" spans="1:10" x14ac:dyDescent="0.35">
      <c r="A12" s="229"/>
      <c r="B12" s="53" t="s">
        <v>48</v>
      </c>
      <c r="C12" s="34"/>
      <c r="D12" s="34"/>
      <c r="E12" s="25"/>
    </row>
    <row r="13" spans="1:10" x14ac:dyDescent="0.35">
      <c r="A13" s="229"/>
      <c r="B13" s="53" t="s">
        <v>41</v>
      </c>
      <c r="C13" s="34"/>
      <c r="D13" s="34"/>
      <c r="E13" s="25"/>
    </row>
    <row r="14" spans="1:10" x14ac:dyDescent="0.35">
      <c r="A14" s="229"/>
      <c r="B14" s="22" t="s">
        <v>93</v>
      </c>
      <c r="C14" s="52">
        <f>'Meterading 2025'!B17</f>
        <v>89982</v>
      </c>
      <c r="D14" s="24"/>
      <c r="E14" s="25"/>
    </row>
    <row r="15" spans="1:10" ht="15" x14ac:dyDescent="0.4">
      <c r="A15" s="229"/>
      <c r="B15" s="22" t="s">
        <v>19</v>
      </c>
      <c r="C15" s="26">
        <f>'Meterading 2025'!C17</f>
        <v>90826</v>
      </c>
      <c r="D15" s="27" t="s">
        <v>20</v>
      </c>
      <c r="E15" s="25"/>
    </row>
    <row r="16" spans="1:10" ht="15" thickBot="1" x14ac:dyDescent="0.4">
      <c r="A16" s="230"/>
      <c r="B16" s="22" t="s">
        <v>21</v>
      </c>
      <c r="C16" s="67">
        <f>+C15-C14</f>
        <v>844</v>
      </c>
      <c r="D16" s="27"/>
      <c r="E16" s="25"/>
    </row>
    <row r="17" spans="1:5" ht="15" thickTop="1" x14ac:dyDescent="0.35">
      <c r="A17" s="18"/>
      <c r="B17" s="19" t="s">
        <v>42</v>
      </c>
      <c r="C17" s="20"/>
      <c r="D17" s="20"/>
      <c r="E17" s="21"/>
    </row>
    <row r="18" spans="1:5" x14ac:dyDescent="0.35">
      <c r="A18" s="28"/>
      <c r="B18" s="22" t="s">
        <v>92</v>
      </c>
      <c r="C18" s="23">
        <f>'Meterading 2025'!F17</f>
        <v>31764</v>
      </c>
      <c r="D18" s="24"/>
      <c r="E18" s="25"/>
    </row>
    <row r="19" spans="1:5" ht="15" x14ac:dyDescent="0.4">
      <c r="A19" s="28"/>
      <c r="B19" s="22" t="s">
        <v>19</v>
      </c>
      <c r="C19" s="26">
        <f>'Meterading 2025'!G17</f>
        <v>32280</v>
      </c>
      <c r="D19" s="27" t="s">
        <v>20</v>
      </c>
      <c r="E19" s="25"/>
    </row>
    <row r="20" spans="1:5" x14ac:dyDescent="0.35">
      <c r="A20" s="28"/>
      <c r="B20" s="22" t="s">
        <v>21</v>
      </c>
      <c r="C20" s="67">
        <f>+C19-C18</f>
        <v>516</v>
      </c>
      <c r="D20" s="27"/>
      <c r="E20" s="25"/>
    </row>
    <row r="21" spans="1:5" ht="15" x14ac:dyDescent="0.4">
      <c r="A21" s="28"/>
      <c r="B21" s="22" t="s">
        <v>22</v>
      </c>
      <c r="C21" s="26">
        <v>200</v>
      </c>
      <c r="D21" s="27" t="s">
        <v>20</v>
      </c>
      <c r="E21" s="25"/>
    </row>
    <row r="22" spans="1:5" x14ac:dyDescent="0.35">
      <c r="A22" s="28"/>
      <c r="B22" s="22" t="s">
        <v>21</v>
      </c>
      <c r="C22" s="67">
        <f>+C20-C21</f>
        <v>316</v>
      </c>
      <c r="D22" s="27"/>
      <c r="E22" s="25"/>
    </row>
    <row r="23" spans="1:5" ht="15" thickBot="1" x14ac:dyDescent="0.4">
      <c r="A23" s="55"/>
      <c r="B23" s="56"/>
      <c r="C23" s="57"/>
      <c r="D23" s="58"/>
      <c r="E23" s="59"/>
    </row>
    <row r="24" spans="1:5" ht="15.5" thickTop="1" thickBot="1" x14ac:dyDescent="0.4">
      <c r="A24" s="29">
        <v>2</v>
      </c>
      <c r="B24" s="30" t="s">
        <v>23</v>
      </c>
      <c r="C24" s="31" t="s">
        <v>24</v>
      </c>
      <c r="D24" s="32">
        <v>150</v>
      </c>
      <c r="E24" s="54">
        <f>C16*D24</f>
        <v>126600</v>
      </c>
    </row>
    <row r="25" spans="1:5" ht="15.5" thickTop="1" thickBot="1" x14ac:dyDescent="0.4">
      <c r="A25" s="29">
        <v>3</v>
      </c>
      <c r="B25" s="30" t="s">
        <v>43</v>
      </c>
      <c r="C25" s="31" t="s">
        <v>24</v>
      </c>
      <c r="D25" s="32">
        <v>1300</v>
      </c>
      <c r="E25" s="21">
        <f>D25*C22</f>
        <v>410800</v>
      </c>
    </row>
    <row r="26" spans="1:5" ht="15.5" thickTop="1" thickBot="1" x14ac:dyDescent="0.4">
      <c r="A26" s="34"/>
      <c r="B26" s="34"/>
      <c r="C26" s="34"/>
      <c r="D26" s="86" t="s">
        <v>25</v>
      </c>
      <c r="E26" s="54">
        <f>E11+E24+E25</f>
        <v>3037400</v>
      </c>
    </row>
    <row r="27" spans="1:5" ht="18" thickTop="1" thickBot="1" x14ac:dyDescent="0.45">
      <c r="A27" s="231" t="s">
        <v>26</v>
      </c>
      <c r="B27" s="232"/>
      <c r="C27" s="34"/>
      <c r="D27" s="86" t="s">
        <v>27</v>
      </c>
      <c r="E27" s="84">
        <v>0</v>
      </c>
    </row>
    <row r="28" spans="1:5" ht="18" thickTop="1" thickBot="1" x14ac:dyDescent="0.45">
      <c r="A28" s="233" t="s">
        <v>45</v>
      </c>
      <c r="B28" s="234"/>
      <c r="C28" s="41"/>
      <c r="D28" s="86" t="s">
        <v>29</v>
      </c>
      <c r="E28" s="85">
        <f>+E26</f>
        <v>3037400</v>
      </c>
    </row>
    <row r="29" spans="1:5" ht="17.5" thickTop="1" x14ac:dyDescent="0.4">
      <c r="A29" s="235" t="s">
        <v>142</v>
      </c>
      <c r="B29" s="236"/>
      <c r="C29" s="41"/>
      <c r="D29" s="35"/>
      <c r="E29" s="87"/>
    </row>
    <row r="30" spans="1:5" ht="17" x14ac:dyDescent="0.4">
      <c r="A30" s="205" t="s">
        <v>80</v>
      </c>
      <c r="B30" s="206"/>
      <c r="C30" s="41"/>
      <c r="D30" s="35"/>
      <c r="E30" s="87"/>
    </row>
    <row r="31" spans="1:5" ht="17" x14ac:dyDescent="0.4">
      <c r="A31" s="205" t="s">
        <v>81</v>
      </c>
      <c r="B31" s="206"/>
      <c r="C31" s="41"/>
      <c r="D31" s="35"/>
      <c r="E31" s="87"/>
    </row>
    <row r="32" spans="1:5" x14ac:dyDescent="0.35">
      <c r="A32" s="207" t="s">
        <v>28</v>
      </c>
      <c r="B32" s="208"/>
      <c r="C32" s="3"/>
      <c r="D32" s="3"/>
      <c r="E32" s="15"/>
    </row>
    <row r="33" spans="1:10" ht="15" thickBot="1" x14ac:dyDescent="0.4">
      <c r="A33" s="209" t="s">
        <v>30</v>
      </c>
      <c r="B33" s="210"/>
      <c r="C33" s="3"/>
      <c r="D33" s="3"/>
      <c r="E33" s="15"/>
    </row>
    <row r="34" spans="1:10" ht="15" thickTop="1" x14ac:dyDescent="0.35">
      <c r="A34" s="48"/>
      <c r="B34" s="49"/>
      <c r="C34" s="3"/>
      <c r="D34" s="3"/>
      <c r="E34" s="47"/>
      <c r="G34" t="s">
        <v>119</v>
      </c>
    </row>
    <row r="35" spans="1:10" x14ac:dyDescent="0.35">
      <c r="A35" s="211" t="s">
        <v>33</v>
      </c>
      <c r="B35" s="211"/>
      <c r="C35" s="211" t="s">
        <v>1</v>
      </c>
      <c r="D35" s="211"/>
      <c r="E35" s="211"/>
    </row>
    <row r="39" spans="1:10" x14ac:dyDescent="0.35">
      <c r="A39" s="212" t="s">
        <v>34</v>
      </c>
      <c r="B39" s="212"/>
      <c r="C39" s="213" t="s">
        <v>149</v>
      </c>
      <c r="D39" s="214"/>
      <c r="E39" s="214"/>
    </row>
    <row r="40" spans="1:10" x14ac:dyDescent="0.35">
      <c r="D40" s="60" t="s">
        <v>36</v>
      </c>
      <c r="E40" s="51"/>
    </row>
    <row r="41" spans="1:10" ht="15" thickBot="1" x14ac:dyDescent="0.4">
      <c r="D41" s="60"/>
      <c r="E41" s="51"/>
    </row>
    <row r="42" spans="1:10" ht="15.5" thickTop="1" thickBot="1" x14ac:dyDescent="0.4">
      <c r="A42" s="215" t="s">
        <v>1</v>
      </c>
      <c r="B42" s="216"/>
      <c r="C42" s="3"/>
      <c r="D42" s="113" t="s">
        <v>0</v>
      </c>
      <c r="E42" s="114" t="s">
        <v>189</v>
      </c>
    </row>
    <row r="43" spans="1:10" ht="15.5" thickTop="1" thickBot="1" x14ac:dyDescent="0.4">
      <c r="A43" s="217"/>
      <c r="B43" s="218"/>
      <c r="C43" s="3"/>
      <c r="D43" s="115" t="s">
        <v>2</v>
      </c>
      <c r="E43" s="114">
        <v>45992</v>
      </c>
    </row>
    <row r="44" spans="1:10" ht="15.5" thickTop="1" thickBot="1" x14ac:dyDescent="0.4">
      <c r="A44" s="237" t="s">
        <v>104</v>
      </c>
      <c r="B44" s="238"/>
      <c r="C44" s="3"/>
      <c r="D44" s="221" t="s">
        <v>4</v>
      </c>
      <c r="E44" s="222"/>
    </row>
    <row r="45" spans="1:10" ht="15.5" thickTop="1" thickBot="1" x14ac:dyDescent="0.4">
      <c r="A45" s="237" t="s">
        <v>77</v>
      </c>
      <c r="B45" s="238"/>
      <c r="C45" s="3"/>
      <c r="D45" s="239" t="s">
        <v>37</v>
      </c>
      <c r="E45" s="240"/>
    </row>
    <row r="46" spans="1:10" ht="15.5" thickTop="1" thickBot="1" x14ac:dyDescent="0.4">
      <c r="A46" s="237" t="s">
        <v>116</v>
      </c>
      <c r="B46" s="238"/>
      <c r="C46" s="3"/>
      <c r="D46" s="241" t="s">
        <v>38</v>
      </c>
      <c r="E46" s="242"/>
    </row>
    <row r="47" spans="1:10" ht="15.5" thickTop="1" thickBot="1" x14ac:dyDescent="0.4">
      <c r="A47" s="243" t="s">
        <v>11</v>
      </c>
      <c r="B47" s="244"/>
      <c r="D47" s="245" t="s">
        <v>39</v>
      </c>
      <c r="E47" s="246"/>
      <c r="J47" s="50"/>
    </row>
    <row r="48" spans="1:10" ht="15.5" thickTop="1" thickBot="1" x14ac:dyDescent="0.4">
      <c r="A48" s="219" t="s">
        <v>79</v>
      </c>
      <c r="B48" s="220"/>
      <c r="C48" s="3"/>
      <c r="D48" s="221" t="s">
        <v>40</v>
      </c>
      <c r="E48" s="222"/>
    </row>
    <row r="49" spans="1:5" ht="30" thickTop="1" x14ac:dyDescent="0.55000000000000004">
      <c r="A49" s="223" t="s">
        <v>87</v>
      </c>
      <c r="B49" s="223"/>
      <c r="C49" s="223"/>
      <c r="D49" s="223"/>
      <c r="E49" s="223"/>
    </row>
    <row r="50" spans="1:5" ht="15" thickBot="1" x14ac:dyDescent="0.4">
      <c r="A50" s="224" t="s">
        <v>194</v>
      </c>
      <c r="B50" s="224"/>
      <c r="C50" s="3"/>
      <c r="D50" s="3"/>
      <c r="E50" s="15"/>
    </row>
    <row r="51" spans="1:5" ht="15.5" thickTop="1" thickBot="1" x14ac:dyDescent="0.4">
      <c r="A51" s="16" t="s">
        <v>14</v>
      </c>
      <c r="B51" s="225" t="s">
        <v>15</v>
      </c>
      <c r="C51" s="226"/>
      <c r="D51" s="227"/>
      <c r="E51" s="17" t="s">
        <v>16</v>
      </c>
    </row>
    <row r="52" spans="1:5" ht="15" thickTop="1" x14ac:dyDescent="0.35">
      <c r="A52" s="228">
        <v>1</v>
      </c>
      <c r="B52" s="19" t="s">
        <v>47</v>
      </c>
      <c r="C52" s="20"/>
      <c r="D52" s="20"/>
      <c r="E52" s="21">
        <v>2500000</v>
      </c>
    </row>
    <row r="53" spans="1:5" x14ac:dyDescent="0.35">
      <c r="A53" s="229"/>
      <c r="B53" s="53" t="s">
        <v>48</v>
      </c>
      <c r="C53" s="34"/>
      <c r="D53" s="34"/>
      <c r="E53" s="25"/>
    </row>
    <row r="54" spans="1:5" x14ac:dyDescent="0.35">
      <c r="A54" s="229"/>
      <c r="B54" s="53" t="s">
        <v>41</v>
      </c>
      <c r="C54" s="34"/>
      <c r="D54" s="34"/>
      <c r="E54" s="25"/>
    </row>
    <row r="55" spans="1:5" x14ac:dyDescent="0.35">
      <c r="A55" s="229"/>
      <c r="B55" s="22" t="s">
        <v>93</v>
      </c>
      <c r="C55" s="52">
        <f>'Meterading 2025'!B16</f>
        <v>88654</v>
      </c>
      <c r="D55" s="24"/>
      <c r="E55" s="25"/>
    </row>
    <row r="56" spans="1:5" ht="15" x14ac:dyDescent="0.4">
      <c r="A56" s="229"/>
      <c r="B56" s="22" t="s">
        <v>19</v>
      </c>
      <c r="C56" s="26">
        <f>'Meterading 2025'!C16</f>
        <v>89982</v>
      </c>
      <c r="D56" s="27" t="s">
        <v>20</v>
      </c>
      <c r="E56" s="25"/>
    </row>
    <row r="57" spans="1:5" ht="15" thickBot="1" x14ac:dyDescent="0.4">
      <c r="A57" s="230"/>
      <c r="B57" s="22" t="s">
        <v>21</v>
      </c>
      <c r="C57" s="67">
        <f>+C56-C55</f>
        <v>1328</v>
      </c>
      <c r="D57" s="27"/>
      <c r="E57" s="25"/>
    </row>
    <row r="58" spans="1:5" ht="15" thickTop="1" x14ac:dyDescent="0.35">
      <c r="A58" s="18"/>
      <c r="B58" s="19" t="s">
        <v>42</v>
      </c>
      <c r="C58" s="20"/>
      <c r="D58" s="20"/>
      <c r="E58" s="21"/>
    </row>
    <row r="59" spans="1:5" x14ac:dyDescent="0.35">
      <c r="A59" s="28"/>
      <c r="B59" s="22" t="s">
        <v>92</v>
      </c>
      <c r="C59" s="23">
        <f>'Meterading 2025'!F16</f>
        <v>31254</v>
      </c>
      <c r="D59" s="24"/>
      <c r="E59" s="25"/>
    </row>
    <row r="60" spans="1:5" ht="15" x14ac:dyDescent="0.4">
      <c r="A60" s="28"/>
      <c r="B60" s="22" t="s">
        <v>19</v>
      </c>
      <c r="C60" s="26">
        <f>'Meterading 2025'!G16</f>
        <v>31764</v>
      </c>
      <c r="D60" s="27" t="s">
        <v>20</v>
      </c>
      <c r="E60" s="25"/>
    </row>
    <row r="61" spans="1:5" x14ac:dyDescent="0.35">
      <c r="A61" s="28"/>
      <c r="B61" s="22" t="s">
        <v>21</v>
      </c>
      <c r="C61" s="67">
        <f>+C60-C59</f>
        <v>510</v>
      </c>
      <c r="D61" s="27"/>
      <c r="E61" s="25"/>
    </row>
    <row r="62" spans="1:5" ht="15" x14ac:dyDescent="0.4">
      <c r="A62" s="28"/>
      <c r="B62" s="22" t="s">
        <v>22</v>
      </c>
      <c r="C62" s="26">
        <v>200</v>
      </c>
      <c r="D62" s="27" t="s">
        <v>20</v>
      </c>
      <c r="E62" s="25"/>
    </row>
    <row r="63" spans="1:5" x14ac:dyDescent="0.35">
      <c r="A63" s="28"/>
      <c r="B63" s="22" t="s">
        <v>21</v>
      </c>
      <c r="C63" s="67">
        <f>+C61-C62</f>
        <v>310</v>
      </c>
      <c r="D63" s="27"/>
      <c r="E63" s="25"/>
    </row>
    <row r="64" spans="1:5" ht="15" thickBot="1" x14ac:dyDescent="0.4">
      <c r="A64" s="55"/>
      <c r="B64" s="56"/>
      <c r="C64" s="57"/>
      <c r="D64" s="58"/>
      <c r="E64" s="59"/>
    </row>
    <row r="65" spans="1:7" ht="15.5" thickTop="1" thickBot="1" x14ac:dyDescent="0.4">
      <c r="A65" s="29">
        <v>2</v>
      </c>
      <c r="B65" s="30" t="s">
        <v>23</v>
      </c>
      <c r="C65" s="31" t="s">
        <v>24</v>
      </c>
      <c r="D65" s="32">
        <v>150</v>
      </c>
      <c r="E65" s="54">
        <f>C57*D65</f>
        <v>199200</v>
      </c>
    </row>
    <row r="66" spans="1:7" ht="15.5" thickTop="1" thickBot="1" x14ac:dyDescent="0.4">
      <c r="A66" s="29">
        <v>3</v>
      </c>
      <c r="B66" s="30" t="s">
        <v>43</v>
      </c>
      <c r="C66" s="31" t="s">
        <v>24</v>
      </c>
      <c r="D66" s="32">
        <v>1300</v>
      </c>
      <c r="E66" s="21">
        <f>D66*C63</f>
        <v>403000</v>
      </c>
    </row>
    <row r="67" spans="1:7" ht="15.5" thickTop="1" thickBot="1" x14ac:dyDescent="0.4">
      <c r="A67" s="34"/>
      <c r="B67" s="34"/>
      <c r="C67" s="34"/>
      <c r="D67" s="86" t="s">
        <v>25</v>
      </c>
      <c r="E67" s="54">
        <f>E52+E65+E66</f>
        <v>3102200</v>
      </c>
    </row>
    <row r="68" spans="1:7" ht="18" thickTop="1" thickBot="1" x14ac:dyDescent="0.45">
      <c r="A68" s="231" t="s">
        <v>26</v>
      </c>
      <c r="B68" s="232"/>
      <c r="C68" s="34"/>
      <c r="D68" s="86" t="s">
        <v>27</v>
      </c>
      <c r="E68" s="84">
        <v>0</v>
      </c>
    </row>
    <row r="69" spans="1:7" ht="18" thickTop="1" thickBot="1" x14ac:dyDescent="0.45">
      <c r="A69" s="233" t="s">
        <v>45</v>
      </c>
      <c r="B69" s="234"/>
      <c r="C69" s="41"/>
      <c r="D69" s="86" t="s">
        <v>29</v>
      </c>
      <c r="E69" s="85">
        <f>+E67</f>
        <v>3102200</v>
      </c>
    </row>
    <row r="70" spans="1:7" ht="17.5" thickTop="1" x14ac:dyDescent="0.4">
      <c r="A70" s="235" t="s">
        <v>142</v>
      </c>
      <c r="B70" s="236"/>
      <c r="C70" s="41"/>
      <c r="D70" s="35"/>
      <c r="E70" s="87"/>
    </row>
    <row r="71" spans="1:7" ht="17" x14ac:dyDescent="0.4">
      <c r="A71" s="205" t="s">
        <v>80</v>
      </c>
      <c r="B71" s="206"/>
      <c r="C71" s="41"/>
      <c r="D71" s="35"/>
      <c r="E71" s="87"/>
    </row>
    <row r="72" spans="1:7" ht="17" x14ac:dyDescent="0.4">
      <c r="A72" s="205" t="s">
        <v>81</v>
      </c>
      <c r="B72" s="206"/>
      <c r="C72" s="41"/>
      <c r="D72" s="35"/>
      <c r="E72" s="87"/>
    </row>
    <row r="73" spans="1:7" x14ac:dyDescent="0.35">
      <c r="A73" s="207" t="s">
        <v>28</v>
      </c>
      <c r="B73" s="208"/>
      <c r="C73" s="3"/>
      <c r="D73" s="3"/>
      <c r="E73" s="15"/>
    </row>
    <row r="74" spans="1:7" ht="15" thickBot="1" x14ac:dyDescent="0.4">
      <c r="A74" s="209" t="s">
        <v>30</v>
      </c>
      <c r="B74" s="210"/>
      <c r="C74" s="3"/>
      <c r="D74" s="3"/>
      <c r="E74" s="15"/>
    </row>
    <row r="75" spans="1:7" ht="15" thickTop="1" x14ac:dyDescent="0.35">
      <c r="A75" s="48"/>
      <c r="B75" s="49"/>
      <c r="C75" s="3"/>
      <c r="D75" s="3"/>
      <c r="E75" s="47"/>
      <c r="G75" t="s">
        <v>119</v>
      </c>
    </row>
    <row r="76" spans="1:7" x14ac:dyDescent="0.35">
      <c r="A76" s="211" t="s">
        <v>33</v>
      </c>
      <c r="B76" s="211"/>
      <c r="C76" s="211" t="s">
        <v>1</v>
      </c>
      <c r="D76" s="211"/>
      <c r="E76" s="211"/>
    </row>
    <row r="80" spans="1:7" x14ac:dyDescent="0.35">
      <c r="A80" s="212" t="s">
        <v>34</v>
      </c>
      <c r="B80" s="212"/>
      <c r="C80" s="213" t="s">
        <v>149</v>
      </c>
      <c r="D80" s="214"/>
      <c r="E80" s="214"/>
    </row>
    <row r="81" spans="1:10" x14ac:dyDescent="0.35">
      <c r="D81" s="60" t="s">
        <v>36</v>
      </c>
      <c r="E81" s="51"/>
    </row>
    <row r="82" spans="1:10" ht="15" thickBot="1" x14ac:dyDescent="0.4">
      <c r="D82" s="60"/>
      <c r="E82" s="51"/>
    </row>
    <row r="83" spans="1:10" ht="15.5" thickTop="1" thickBot="1" x14ac:dyDescent="0.4">
      <c r="A83" s="215" t="s">
        <v>1</v>
      </c>
      <c r="B83" s="216"/>
      <c r="C83" s="3"/>
      <c r="D83" s="113" t="s">
        <v>0</v>
      </c>
      <c r="E83" s="114" t="s">
        <v>163</v>
      </c>
    </row>
    <row r="84" spans="1:10" ht="15.5" thickTop="1" thickBot="1" x14ac:dyDescent="0.4">
      <c r="A84" s="217"/>
      <c r="B84" s="218"/>
      <c r="C84" s="3"/>
      <c r="D84" s="115" t="s">
        <v>2</v>
      </c>
      <c r="E84" s="114">
        <v>45964</v>
      </c>
    </row>
    <row r="85" spans="1:10" ht="15.5" thickTop="1" thickBot="1" x14ac:dyDescent="0.4">
      <c r="A85" s="237" t="s">
        <v>104</v>
      </c>
      <c r="B85" s="238"/>
      <c r="C85" s="3"/>
      <c r="D85" s="221" t="s">
        <v>4</v>
      </c>
      <c r="E85" s="222"/>
    </row>
    <row r="86" spans="1:10" ht="15.5" thickTop="1" thickBot="1" x14ac:dyDescent="0.4">
      <c r="A86" s="237" t="s">
        <v>77</v>
      </c>
      <c r="B86" s="238"/>
      <c r="C86" s="3"/>
      <c r="D86" s="239" t="s">
        <v>37</v>
      </c>
      <c r="E86" s="240"/>
    </row>
    <row r="87" spans="1:10" ht="15.5" thickTop="1" thickBot="1" x14ac:dyDescent="0.4">
      <c r="A87" s="237" t="s">
        <v>116</v>
      </c>
      <c r="B87" s="238"/>
      <c r="C87" s="3"/>
      <c r="D87" s="241" t="s">
        <v>38</v>
      </c>
      <c r="E87" s="242"/>
    </row>
    <row r="88" spans="1:10" ht="15.5" thickTop="1" thickBot="1" x14ac:dyDescent="0.4">
      <c r="A88" s="243" t="s">
        <v>11</v>
      </c>
      <c r="B88" s="244"/>
      <c r="D88" s="245" t="s">
        <v>39</v>
      </c>
      <c r="E88" s="246"/>
      <c r="J88" s="50"/>
    </row>
    <row r="89" spans="1:10" ht="15.5" thickTop="1" thickBot="1" x14ac:dyDescent="0.4">
      <c r="A89" s="219" t="s">
        <v>79</v>
      </c>
      <c r="B89" s="220"/>
      <c r="C89" s="3"/>
      <c r="D89" s="221" t="s">
        <v>40</v>
      </c>
      <c r="E89" s="222"/>
    </row>
    <row r="90" spans="1:10" ht="30" thickTop="1" x14ac:dyDescent="0.55000000000000004">
      <c r="A90" s="223" t="s">
        <v>87</v>
      </c>
      <c r="B90" s="223"/>
      <c r="C90" s="223"/>
      <c r="D90" s="223"/>
      <c r="E90" s="223"/>
    </row>
    <row r="91" spans="1:10" ht="15" thickBot="1" x14ac:dyDescent="0.4">
      <c r="A91" s="224" t="s">
        <v>168</v>
      </c>
      <c r="B91" s="224"/>
      <c r="C91" s="3"/>
      <c r="D91" s="3"/>
      <c r="E91" s="15"/>
    </row>
    <row r="92" spans="1:10" ht="15.5" thickTop="1" thickBot="1" x14ac:dyDescent="0.4">
      <c r="A92" s="16" t="s">
        <v>14</v>
      </c>
      <c r="B92" s="225" t="s">
        <v>15</v>
      </c>
      <c r="C92" s="226"/>
      <c r="D92" s="227"/>
      <c r="E92" s="17" t="s">
        <v>16</v>
      </c>
    </row>
    <row r="93" spans="1:10" ht="15" thickTop="1" x14ac:dyDescent="0.35">
      <c r="A93" s="228">
        <v>1</v>
      </c>
      <c r="B93" s="19" t="s">
        <v>47</v>
      </c>
      <c r="C93" s="20"/>
      <c r="D93" s="20"/>
      <c r="E93" s="21">
        <v>2500000</v>
      </c>
    </row>
    <row r="94" spans="1:10" x14ac:dyDescent="0.35">
      <c r="A94" s="229"/>
      <c r="B94" s="53" t="s">
        <v>48</v>
      </c>
      <c r="C94" s="34"/>
      <c r="D94" s="34"/>
      <c r="E94" s="25"/>
    </row>
    <row r="95" spans="1:10" x14ac:dyDescent="0.35">
      <c r="A95" s="229"/>
      <c r="B95" s="53" t="s">
        <v>41</v>
      </c>
      <c r="C95" s="34"/>
      <c r="D95" s="34"/>
      <c r="E95" s="25"/>
    </row>
    <row r="96" spans="1:10" x14ac:dyDescent="0.35">
      <c r="A96" s="229"/>
      <c r="B96" s="22" t="s">
        <v>93</v>
      </c>
      <c r="C96" s="52">
        <f>'Meterading 2025'!B15</f>
        <v>87477</v>
      </c>
      <c r="D96" s="24"/>
      <c r="E96" s="25"/>
    </row>
    <row r="97" spans="1:5" ht="15" x14ac:dyDescent="0.4">
      <c r="A97" s="229"/>
      <c r="B97" s="22" t="s">
        <v>19</v>
      </c>
      <c r="C97" s="26">
        <f>'Meterading 2025'!C15</f>
        <v>88654</v>
      </c>
      <c r="D97" s="27" t="s">
        <v>20</v>
      </c>
      <c r="E97" s="25"/>
    </row>
    <row r="98" spans="1:5" ht="15" thickBot="1" x14ac:dyDescent="0.4">
      <c r="A98" s="230"/>
      <c r="B98" s="22" t="s">
        <v>21</v>
      </c>
      <c r="C98" s="67">
        <f>+C97-C96</f>
        <v>1177</v>
      </c>
      <c r="D98" s="27"/>
      <c r="E98" s="25"/>
    </row>
    <row r="99" spans="1:5" ht="15" thickTop="1" x14ac:dyDescent="0.35">
      <c r="A99" s="18"/>
      <c r="B99" s="19" t="s">
        <v>42</v>
      </c>
      <c r="C99" s="20"/>
      <c r="D99" s="20"/>
      <c r="E99" s="21"/>
    </row>
    <row r="100" spans="1:5" x14ac:dyDescent="0.35">
      <c r="A100" s="28"/>
      <c r="B100" s="22" t="s">
        <v>92</v>
      </c>
      <c r="C100" s="23">
        <f>'Meterading 2025'!F15</f>
        <v>30426</v>
      </c>
      <c r="D100" s="24"/>
      <c r="E100" s="25"/>
    </row>
    <row r="101" spans="1:5" ht="15" x14ac:dyDescent="0.4">
      <c r="A101" s="28"/>
      <c r="B101" s="22" t="s">
        <v>19</v>
      </c>
      <c r="C101" s="26">
        <f>'Meterading 2025'!G15</f>
        <v>31254</v>
      </c>
      <c r="D101" s="27" t="s">
        <v>20</v>
      </c>
      <c r="E101" s="25"/>
    </row>
    <row r="102" spans="1:5" x14ac:dyDescent="0.35">
      <c r="A102" s="28"/>
      <c r="B102" s="22" t="s">
        <v>21</v>
      </c>
      <c r="C102" s="67">
        <f>+C101-C100</f>
        <v>828</v>
      </c>
      <c r="D102" s="27"/>
      <c r="E102" s="25"/>
    </row>
    <row r="103" spans="1:5" ht="15" x14ac:dyDescent="0.4">
      <c r="A103" s="28"/>
      <c r="B103" s="22" t="s">
        <v>22</v>
      </c>
      <c r="C103" s="26">
        <v>200</v>
      </c>
      <c r="D103" s="27" t="s">
        <v>20</v>
      </c>
      <c r="E103" s="25"/>
    </row>
    <row r="104" spans="1:5" x14ac:dyDescent="0.35">
      <c r="A104" s="28"/>
      <c r="B104" s="22" t="s">
        <v>21</v>
      </c>
      <c r="C104" s="67">
        <f>+C102-C103</f>
        <v>628</v>
      </c>
      <c r="D104" s="27"/>
      <c r="E104" s="25"/>
    </row>
    <row r="105" spans="1:5" ht="15" thickBot="1" x14ac:dyDescent="0.4">
      <c r="A105" s="55"/>
      <c r="B105" s="56"/>
      <c r="C105" s="57"/>
      <c r="D105" s="58"/>
      <c r="E105" s="59"/>
    </row>
    <row r="106" spans="1:5" ht="15.5" thickTop="1" thickBot="1" x14ac:dyDescent="0.4">
      <c r="A106" s="29">
        <v>2</v>
      </c>
      <c r="B106" s="30" t="s">
        <v>23</v>
      </c>
      <c r="C106" s="31" t="s">
        <v>24</v>
      </c>
      <c r="D106" s="32">
        <v>150</v>
      </c>
      <c r="E106" s="54">
        <f>C98*D106</f>
        <v>176550</v>
      </c>
    </row>
    <row r="107" spans="1:5" ht="15.5" thickTop="1" thickBot="1" x14ac:dyDescent="0.4">
      <c r="A107" s="29">
        <v>3</v>
      </c>
      <c r="B107" s="30" t="s">
        <v>43</v>
      </c>
      <c r="C107" s="31" t="s">
        <v>24</v>
      </c>
      <c r="D107" s="32">
        <v>1300</v>
      </c>
      <c r="E107" s="21">
        <f>D107*C104</f>
        <v>816400</v>
      </c>
    </row>
    <row r="108" spans="1:5" ht="15.5" thickTop="1" thickBot="1" x14ac:dyDescent="0.4">
      <c r="A108" s="34"/>
      <c r="B108" s="34"/>
      <c r="C108" s="34"/>
      <c r="D108" s="86" t="s">
        <v>25</v>
      </c>
      <c r="E108" s="54">
        <f>E93+E106+E107</f>
        <v>3492950</v>
      </c>
    </row>
    <row r="109" spans="1:5" ht="18" thickTop="1" thickBot="1" x14ac:dyDescent="0.45">
      <c r="A109" s="231" t="s">
        <v>26</v>
      </c>
      <c r="B109" s="232"/>
      <c r="C109" s="34"/>
      <c r="D109" s="86" t="s">
        <v>27</v>
      </c>
      <c r="E109" s="84">
        <v>0</v>
      </c>
    </row>
    <row r="110" spans="1:5" ht="18" thickTop="1" thickBot="1" x14ac:dyDescent="0.45">
      <c r="A110" s="233" t="s">
        <v>45</v>
      </c>
      <c r="B110" s="234"/>
      <c r="C110" s="41"/>
      <c r="D110" s="86" t="s">
        <v>29</v>
      </c>
      <c r="E110" s="85">
        <f>+E108</f>
        <v>3492950</v>
      </c>
    </row>
    <row r="111" spans="1:5" ht="17.5" thickTop="1" x14ac:dyDescent="0.4">
      <c r="A111" s="235" t="s">
        <v>142</v>
      </c>
      <c r="B111" s="236"/>
      <c r="C111" s="41"/>
      <c r="D111" s="35"/>
      <c r="E111" s="87"/>
    </row>
    <row r="112" spans="1:5" ht="17" x14ac:dyDescent="0.4">
      <c r="A112" s="205" t="s">
        <v>80</v>
      </c>
      <c r="B112" s="206"/>
      <c r="C112" s="41"/>
      <c r="D112" s="35"/>
      <c r="E112" s="87"/>
    </row>
    <row r="113" spans="1:10" ht="17" x14ac:dyDescent="0.4">
      <c r="A113" s="205" t="s">
        <v>81</v>
      </c>
      <c r="B113" s="206"/>
      <c r="C113" s="41"/>
      <c r="D113" s="35"/>
      <c r="E113" s="87"/>
    </row>
    <row r="114" spans="1:10" x14ac:dyDescent="0.35">
      <c r="A114" s="207" t="s">
        <v>28</v>
      </c>
      <c r="B114" s="208"/>
      <c r="C114" s="3"/>
      <c r="D114" s="3"/>
      <c r="E114" s="15"/>
    </row>
    <row r="115" spans="1:10" ht="15" thickBot="1" x14ac:dyDescent="0.4">
      <c r="A115" s="209" t="s">
        <v>30</v>
      </c>
      <c r="B115" s="210"/>
      <c r="C115" s="3"/>
      <c r="D115" s="3"/>
      <c r="E115" s="15"/>
    </row>
    <row r="116" spans="1:10" ht="15" thickTop="1" x14ac:dyDescent="0.35">
      <c r="A116" s="48"/>
      <c r="B116" s="49"/>
      <c r="C116" s="3"/>
      <c r="D116" s="3"/>
      <c r="E116" s="47"/>
      <c r="G116" t="s">
        <v>119</v>
      </c>
    </row>
    <row r="117" spans="1:10" x14ac:dyDescent="0.35">
      <c r="A117" s="211" t="s">
        <v>33</v>
      </c>
      <c r="B117" s="211"/>
      <c r="C117" s="211" t="s">
        <v>1</v>
      </c>
      <c r="D117" s="211"/>
      <c r="E117" s="211"/>
    </row>
    <row r="121" spans="1:10" x14ac:dyDescent="0.35">
      <c r="A121" s="212" t="s">
        <v>34</v>
      </c>
      <c r="B121" s="212"/>
      <c r="C121" s="213" t="s">
        <v>149</v>
      </c>
      <c r="D121" s="214"/>
      <c r="E121" s="214"/>
    </row>
    <row r="122" spans="1:10" x14ac:dyDescent="0.35">
      <c r="D122" s="60" t="s">
        <v>36</v>
      </c>
      <c r="E122" s="51"/>
    </row>
    <row r="123" spans="1:10" ht="15" thickBot="1" x14ac:dyDescent="0.4">
      <c r="D123" s="60"/>
      <c r="E123" s="51"/>
    </row>
    <row r="124" spans="1:10" ht="27" thickTop="1" thickBot="1" x14ac:dyDescent="0.6">
      <c r="A124" s="215" t="s">
        <v>1</v>
      </c>
      <c r="B124" s="216"/>
      <c r="C124" s="3"/>
      <c r="D124" s="113" t="s">
        <v>0</v>
      </c>
      <c r="E124" s="114" t="s">
        <v>150</v>
      </c>
    </row>
    <row r="125" spans="1:10" ht="15.5" thickTop="1" thickBot="1" x14ac:dyDescent="0.4">
      <c r="A125" s="237" t="s">
        <v>104</v>
      </c>
      <c r="B125" s="238"/>
      <c r="C125" s="3"/>
      <c r="D125" s="221" t="s">
        <v>4</v>
      </c>
      <c r="E125" s="222"/>
    </row>
    <row r="126" spans="1:10" ht="15.5" thickTop="1" thickBot="1" x14ac:dyDescent="0.4">
      <c r="A126" s="237" t="s">
        <v>77</v>
      </c>
      <c r="B126" s="238"/>
      <c r="C126" s="3"/>
      <c r="D126" s="239" t="s">
        <v>37</v>
      </c>
      <c r="E126" s="240"/>
    </row>
    <row r="127" spans="1:10" ht="15.5" thickTop="1" thickBot="1" x14ac:dyDescent="0.4">
      <c r="A127" s="237" t="s">
        <v>116</v>
      </c>
      <c r="B127" s="238"/>
      <c r="C127" s="3"/>
      <c r="D127" s="241" t="s">
        <v>38</v>
      </c>
      <c r="E127" s="242"/>
    </row>
    <row r="128" spans="1:10" ht="15.5" thickTop="1" thickBot="1" x14ac:dyDescent="0.4">
      <c r="A128" s="243" t="s">
        <v>11</v>
      </c>
      <c r="B128" s="244"/>
      <c r="D128" s="245" t="s">
        <v>39</v>
      </c>
      <c r="E128" s="246"/>
      <c r="J128" s="50"/>
    </row>
    <row r="129" spans="1:5" ht="15.5" thickTop="1" thickBot="1" x14ac:dyDescent="0.4">
      <c r="A129" s="219" t="s">
        <v>79</v>
      </c>
      <c r="B129" s="220"/>
      <c r="C129" s="3"/>
      <c r="D129" s="221" t="s">
        <v>40</v>
      </c>
      <c r="E129" s="222"/>
    </row>
    <row r="130" spans="1:5" ht="30" thickTop="1" x14ac:dyDescent="0.55000000000000004">
      <c r="A130" s="223" t="s">
        <v>87</v>
      </c>
      <c r="B130" s="223"/>
      <c r="C130" s="223"/>
      <c r="D130" s="223"/>
      <c r="E130" s="223"/>
    </row>
    <row r="131" spans="1:5" ht="15" thickBot="1" x14ac:dyDescent="0.4">
      <c r="A131" s="224" t="s">
        <v>153</v>
      </c>
      <c r="B131" s="224"/>
      <c r="C131" s="3"/>
      <c r="D131" s="3"/>
      <c r="E131" s="15"/>
    </row>
    <row r="132" spans="1:5" ht="15.5" thickTop="1" thickBot="1" x14ac:dyDescent="0.4">
      <c r="A132" s="16" t="s">
        <v>14</v>
      </c>
      <c r="B132" s="225" t="s">
        <v>15</v>
      </c>
      <c r="C132" s="226"/>
      <c r="D132" s="227"/>
      <c r="E132" s="17" t="s">
        <v>16</v>
      </c>
    </row>
    <row r="133" spans="1:5" ht="15" thickTop="1" x14ac:dyDescent="0.35">
      <c r="A133" s="228">
        <v>1</v>
      </c>
      <c r="B133" s="19" t="s">
        <v>47</v>
      </c>
      <c r="C133" s="20"/>
      <c r="D133" s="20"/>
      <c r="E133" s="21">
        <v>2500000</v>
      </c>
    </row>
    <row r="134" spans="1:5" x14ac:dyDescent="0.35">
      <c r="A134" s="229"/>
      <c r="B134" s="53" t="s">
        <v>48</v>
      </c>
      <c r="C134" s="34"/>
      <c r="D134" s="34"/>
      <c r="E134" s="25"/>
    </row>
    <row r="135" spans="1:5" x14ac:dyDescent="0.35">
      <c r="A135" s="229"/>
      <c r="B135" s="53" t="s">
        <v>41</v>
      </c>
      <c r="C135" s="34"/>
      <c r="D135" s="34"/>
      <c r="E135" s="25"/>
    </row>
    <row r="136" spans="1:5" x14ac:dyDescent="0.35">
      <c r="A136" s="229"/>
      <c r="B136" s="22" t="s">
        <v>93</v>
      </c>
      <c r="C136" s="52">
        <f>'Meterading 2025'!B14</f>
        <v>85849</v>
      </c>
      <c r="D136" s="24"/>
      <c r="E136" s="25"/>
    </row>
    <row r="137" spans="1:5" ht="15" x14ac:dyDescent="0.4">
      <c r="A137" s="229"/>
      <c r="B137" s="22" t="s">
        <v>19</v>
      </c>
      <c r="C137" s="26">
        <f>'Meterading 2025'!C14</f>
        <v>87477</v>
      </c>
      <c r="D137" s="27" t="s">
        <v>20</v>
      </c>
      <c r="E137" s="25"/>
    </row>
    <row r="138" spans="1:5" ht="15" thickBot="1" x14ac:dyDescent="0.4">
      <c r="A138" s="230"/>
      <c r="B138" s="22" t="s">
        <v>21</v>
      </c>
      <c r="C138" s="67">
        <f>+C137-C136</f>
        <v>1628</v>
      </c>
      <c r="D138" s="27"/>
      <c r="E138" s="25"/>
    </row>
    <row r="139" spans="1:5" ht="15" thickTop="1" x14ac:dyDescent="0.35">
      <c r="A139" s="18"/>
      <c r="B139" s="19" t="s">
        <v>42</v>
      </c>
      <c r="C139" s="20"/>
      <c r="D139" s="20"/>
      <c r="E139" s="21"/>
    </row>
    <row r="140" spans="1:5" x14ac:dyDescent="0.35">
      <c r="A140" s="28"/>
      <c r="B140" s="22" t="s">
        <v>92</v>
      </c>
      <c r="C140" s="23">
        <f>'Meterading 2025'!F14</f>
        <v>29295</v>
      </c>
      <c r="D140" s="24"/>
      <c r="E140" s="25"/>
    </row>
    <row r="141" spans="1:5" ht="15" x14ac:dyDescent="0.4">
      <c r="A141" s="28"/>
      <c r="B141" s="22" t="s">
        <v>19</v>
      </c>
      <c r="C141" s="26">
        <f>'Meterading 2025'!G14</f>
        <v>30426</v>
      </c>
      <c r="D141" s="27" t="s">
        <v>20</v>
      </c>
      <c r="E141" s="25"/>
    </row>
    <row r="142" spans="1:5" x14ac:dyDescent="0.35">
      <c r="A142" s="28"/>
      <c r="B142" s="22" t="s">
        <v>21</v>
      </c>
      <c r="C142" s="67">
        <f>+C141-C140</f>
        <v>1131</v>
      </c>
      <c r="D142" s="27"/>
      <c r="E142" s="25"/>
    </row>
    <row r="143" spans="1:5" ht="15" x14ac:dyDescent="0.4">
      <c r="A143" s="28"/>
      <c r="B143" s="22" t="s">
        <v>22</v>
      </c>
      <c r="C143" s="26">
        <v>200</v>
      </c>
      <c r="D143" s="27" t="s">
        <v>20</v>
      </c>
      <c r="E143" s="25"/>
    </row>
    <row r="144" spans="1:5" x14ac:dyDescent="0.35">
      <c r="A144" s="28"/>
      <c r="B144" s="22" t="s">
        <v>21</v>
      </c>
      <c r="C144" s="67">
        <f>+C142-C143</f>
        <v>931</v>
      </c>
      <c r="D144" s="27"/>
      <c r="E144" s="25"/>
    </row>
    <row r="145" spans="1:7" ht="15" thickBot="1" x14ac:dyDescent="0.4">
      <c r="A145" s="55"/>
      <c r="B145" s="56"/>
      <c r="C145" s="57"/>
      <c r="D145" s="58"/>
      <c r="E145" s="59"/>
    </row>
    <row r="146" spans="1:7" ht="15.5" thickTop="1" thickBot="1" x14ac:dyDescent="0.4">
      <c r="A146" s="29">
        <v>2</v>
      </c>
      <c r="B146" s="30" t="s">
        <v>23</v>
      </c>
      <c r="C146" s="31" t="s">
        <v>24</v>
      </c>
      <c r="D146" s="32">
        <v>150</v>
      </c>
      <c r="E146" s="54">
        <f>C138*D146</f>
        <v>244200</v>
      </c>
    </row>
    <row r="147" spans="1:7" ht="18" thickTop="1" thickBot="1" x14ac:dyDescent="0.45">
      <c r="A147" s="29">
        <v>3</v>
      </c>
      <c r="B147" s="30" t="s">
        <v>43</v>
      </c>
      <c r="C147" s="31" t="s">
        <v>24</v>
      </c>
      <c r="D147" s="32">
        <v>1300</v>
      </c>
      <c r="E147" s="38">
        <f>D147*C144</f>
        <v>1210300</v>
      </c>
    </row>
    <row r="148" spans="1:7" ht="15.5" thickTop="1" thickBot="1" x14ac:dyDescent="0.4">
      <c r="A148" s="34"/>
      <c r="B148" s="34"/>
      <c r="C148" s="34"/>
      <c r="D148" s="86" t="s">
        <v>25</v>
      </c>
      <c r="E148" s="54">
        <f>E133+E146+E147</f>
        <v>3954500</v>
      </c>
    </row>
    <row r="149" spans="1:7" ht="18" thickTop="1" thickBot="1" x14ac:dyDescent="0.45">
      <c r="A149" s="231" t="s">
        <v>26</v>
      </c>
      <c r="B149" s="232"/>
      <c r="C149" s="34"/>
      <c r="D149" s="86" t="s">
        <v>27</v>
      </c>
      <c r="E149" s="84">
        <v>0</v>
      </c>
    </row>
    <row r="150" spans="1:7" ht="18" thickTop="1" thickBot="1" x14ac:dyDescent="0.45">
      <c r="A150" s="233" t="s">
        <v>45</v>
      </c>
      <c r="B150" s="234"/>
      <c r="C150" s="41"/>
      <c r="D150" s="86" t="s">
        <v>29</v>
      </c>
      <c r="E150" s="85">
        <f>+E148</f>
        <v>3954500</v>
      </c>
    </row>
    <row r="151" spans="1:7" ht="17.5" thickTop="1" x14ac:dyDescent="0.4">
      <c r="A151" s="235" t="s">
        <v>142</v>
      </c>
      <c r="B151" s="236"/>
      <c r="C151" s="41"/>
      <c r="D151" s="35"/>
      <c r="E151" s="87"/>
    </row>
    <row r="152" spans="1:7" ht="17" x14ac:dyDescent="0.4">
      <c r="A152" s="205" t="s">
        <v>80</v>
      </c>
      <c r="B152" s="206"/>
      <c r="C152" s="41"/>
      <c r="D152" s="35"/>
      <c r="E152" s="87"/>
    </row>
    <row r="153" spans="1:7" ht="17" x14ac:dyDescent="0.4">
      <c r="A153" s="205" t="s">
        <v>81</v>
      </c>
      <c r="B153" s="206"/>
      <c r="C153" s="41"/>
      <c r="D153" s="35"/>
      <c r="E153" s="87"/>
    </row>
    <row r="154" spans="1:7" x14ac:dyDescent="0.35">
      <c r="A154" s="207" t="s">
        <v>28</v>
      </c>
      <c r="B154" s="208"/>
      <c r="C154" s="3"/>
      <c r="D154" s="3"/>
      <c r="E154" s="15"/>
    </row>
    <row r="155" spans="1:7" ht="15" thickBot="1" x14ac:dyDescent="0.4">
      <c r="A155" s="209" t="s">
        <v>30</v>
      </c>
      <c r="B155" s="210"/>
      <c r="C155" s="3"/>
      <c r="D155" s="3"/>
      <c r="E155" s="15"/>
    </row>
    <row r="156" spans="1:7" ht="15" thickTop="1" x14ac:dyDescent="0.35">
      <c r="A156" s="48"/>
      <c r="B156" s="49"/>
      <c r="C156" s="3"/>
      <c r="D156" s="3"/>
      <c r="E156" s="47"/>
      <c r="G156" t="s">
        <v>119</v>
      </c>
    </row>
    <row r="157" spans="1:7" x14ac:dyDescent="0.35">
      <c r="A157" s="211" t="s">
        <v>33</v>
      </c>
      <c r="B157" s="211"/>
      <c r="C157" s="211" t="s">
        <v>1</v>
      </c>
      <c r="D157" s="211"/>
      <c r="E157" s="211"/>
    </row>
    <row r="161" spans="1:10" x14ac:dyDescent="0.35">
      <c r="A161" s="212" t="s">
        <v>34</v>
      </c>
      <c r="B161" s="212"/>
      <c r="C161" s="213" t="s">
        <v>149</v>
      </c>
      <c r="D161" s="214"/>
      <c r="E161" s="214"/>
    </row>
    <row r="162" spans="1:10" x14ac:dyDescent="0.35">
      <c r="D162" s="60" t="s">
        <v>36</v>
      </c>
      <c r="E162" s="51"/>
    </row>
    <row r="163" spans="1:10" ht="15" thickBot="1" x14ac:dyDescent="0.4">
      <c r="D163" s="60"/>
      <c r="E163" s="51"/>
    </row>
    <row r="164" spans="1:10" ht="15.5" thickTop="1" thickBot="1" x14ac:dyDescent="0.4">
      <c r="A164" s="215" t="s">
        <v>1</v>
      </c>
      <c r="B164" s="216"/>
      <c r="C164" s="3"/>
      <c r="D164" s="113" t="s">
        <v>0</v>
      </c>
      <c r="E164" s="114" t="s">
        <v>145</v>
      </c>
    </row>
    <row r="165" spans="1:10" ht="15.5" thickTop="1" thickBot="1" x14ac:dyDescent="0.4">
      <c r="A165" s="217"/>
      <c r="B165" s="218"/>
      <c r="C165" s="3"/>
      <c r="D165" s="115" t="s">
        <v>2</v>
      </c>
      <c r="E165" s="114">
        <v>45901</v>
      </c>
    </row>
    <row r="166" spans="1:10" ht="15.5" thickTop="1" thickBot="1" x14ac:dyDescent="0.4">
      <c r="A166" s="237" t="s">
        <v>104</v>
      </c>
      <c r="B166" s="238"/>
      <c r="C166" s="3"/>
      <c r="D166" s="221" t="s">
        <v>4</v>
      </c>
      <c r="E166" s="222"/>
    </row>
    <row r="167" spans="1:10" ht="15.5" thickTop="1" thickBot="1" x14ac:dyDescent="0.4">
      <c r="A167" s="237" t="s">
        <v>77</v>
      </c>
      <c r="B167" s="238"/>
      <c r="C167" s="3"/>
      <c r="D167" s="239" t="s">
        <v>37</v>
      </c>
      <c r="E167" s="240"/>
    </row>
    <row r="168" spans="1:10" ht="15.5" thickTop="1" thickBot="1" x14ac:dyDescent="0.4">
      <c r="A168" s="237" t="s">
        <v>116</v>
      </c>
      <c r="B168" s="238"/>
      <c r="C168" s="3"/>
      <c r="D168" s="241" t="s">
        <v>38</v>
      </c>
      <c r="E168" s="242"/>
    </row>
    <row r="169" spans="1:10" ht="15.5" thickTop="1" thickBot="1" x14ac:dyDescent="0.4">
      <c r="A169" s="243" t="s">
        <v>11</v>
      </c>
      <c r="B169" s="244"/>
      <c r="D169" s="245" t="s">
        <v>39</v>
      </c>
      <c r="E169" s="246"/>
      <c r="J169" s="50"/>
    </row>
    <row r="170" spans="1:10" ht="15.5" thickTop="1" thickBot="1" x14ac:dyDescent="0.4">
      <c r="A170" s="219" t="s">
        <v>79</v>
      </c>
      <c r="B170" s="220"/>
      <c r="C170" s="3"/>
      <c r="D170" s="221" t="s">
        <v>40</v>
      </c>
      <c r="E170" s="222"/>
    </row>
    <row r="171" spans="1:10" ht="30" thickTop="1" x14ac:dyDescent="0.55000000000000004">
      <c r="A171" s="223" t="s">
        <v>87</v>
      </c>
      <c r="B171" s="223"/>
      <c r="C171" s="223"/>
      <c r="D171" s="223"/>
      <c r="E171" s="223"/>
    </row>
    <row r="172" spans="1:10" ht="15" thickBot="1" x14ac:dyDescent="0.4">
      <c r="A172" s="224" t="s">
        <v>148</v>
      </c>
      <c r="B172" s="224"/>
      <c r="C172" s="3"/>
      <c r="D172" s="3"/>
      <c r="E172" s="15"/>
    </row>
    <row r="173" spans="1:10" ht="15.5" thickTop="1" thickBot="1" x14ac:dyDescent="0.4">
      <c r="A173" s="16" t="s">
        <v>14</v>
      </c>
      <c r="B173" s="225" t="s">
        <v>15</v>
      </c>
      <c r="C173" s="226"/>
      <c r="D173" s="227"/>
      <c r="E173" s="17" t="s">
        <v>16</v>
      </c>
    </row>
    <row r="174" spans="1:10" ht="15" thickTop="1" x14ac:dyDescent="0.35">
      <c r="A174" s="228">
        <v>1</v>
      </c>
      <c r="B174" s="19" t="s">
        <v>47</v>
      </c>
      <c r="C174" s="20"/>
      <c r="D174" s="20"/>
      <c r="E174" s="21">
        <v>2500000</v>
      </c>
    </row>
    <row r="175" spans="1:10" x14ac:dyDescent="0.35">
      <c r="A175" s="229"/>
      <c r="B175" s="53" t="s">
        <v>48</v>
      </c>
      <c r="C175" s="34"/>
      <c r="D175" s="34"/>
      <c r="E175" s="25"/>
    </row>
    <row r="176" spans="1:10" x14ac:dyDescent="0.35">
      <c r="A176" s="229"/>
      <c r="B176" s="53" t="s">
        <v>41</v>
      </c>
      <c r="C176" s="34"/>
      <c r="D176" s="34"/>
      <c r="E176" s="25"/>
    </row>
    <row r="177" spans="1:5" x14ac:dyDescent="0.35">
      <c r="A177" s="229"/>
      <c r="B177" s="22" t="s">
        <v>93</v>
      </c>
      <c r="C177" s="52">
        <f>'Meterading 2025'!B13</f>
        <v>84968</v>
      </c>
      <c r="D177" s="24"/>
      <c r="E177" s="25"/>
    </row>
    <row r="178" spans="1:5" ht="15" x14ac:dyDescent="0.4">
      <c r="A178" s="229"/>
      <c r="B178" s="22" t="s">
        <v>19</v>
      </c>
      <c r="C178" s="26">
        <f>'Meterading 2025'!C13</f>
        <v>85849</v>
      </c>
      <c r="D178" s="27" t="s">
        <v>20</v>
      </c>
      <c r="E178" s="25"/>
    </row>
    <row r="179" spans="1:5" ht="15" thickBot="1" x14ac:dyDescent="0.4">
      <c r="A179" s="230"/>
      <c r="B179" s="22" t="s">
        <v>21</v>
      </c>
      <c r="C179" s="67">
        <f>+C178-C177</f>
        <v>881</v>
      </c>
      <c r="D179" s="27"/>
      <c r="E179" s="25"/>
    </row>
    <row r="180" spans="1:5" ht="15" thickTop="1" x14ac:dyDescent="0.35">
      <c r="A180" s="18"/>
      <c r="B180" s="19" t="s">
        <v>42</v>
      </c>
      <c r="C180" s="20"/>
      <c r="D180" s="20"/>
      <c r="E180" s="21"/>
    </row>
    <row r="181" spans="1:5" x14ac:dyDescent="0.35">
      <c r="A181" s="28"/>
      <c r="B181" s="22" t="s">
        <v>92</v>
      </c>
      <c r="C181" s="23">
        <f>'Meterading 2025'!F13</f>
        <v>28650</v>
      </c>
      <c r="D181" s="24"/>
      <c r="E181" s="25"/>
    </row>
    <row r="182" spans="1:5" ht="15" x14ac:dyDescent="0.4">
      <c r="A182" s="28"/>
      <c r="B182" s="22" t="s">
        <v>19</v>
      </c>
      <c r="C182" s="26">
        <f>'Meterading 2025'!G13</f>
        <v>29295</v>
      </c>
      <c r="D182" s="27" t="s">
        <v>20</v>
      </c>
      <c r="E182" s="25"/>
    </row>
    <row r="183" spans="1:5" x14ac:dyDescent="0.35">
      <c r="A183" s="28"/>
      <c r="B183" s="22" t="s">
        <v>21</v>
      </c>
      <c r="C183" s="67">
        <f>+C182-C181</f>
        <v>645</v>
      </c>
      <c r="D183" s="27"/>
      <c r="E183" s="25"/>
    </row>
    <row r="184" spans="1:5" ht="15" x14ac:dyDescent="0.4">
      <c r="A184" s="28"/>
      <c r="B184" s="22" t="s">
        <v>22</v>
      </c>
      <c r="C184" s="26">
        <v>200</v>
      </c>
      <c r="D184" s="27" t="s">
        <v>20</v>
      </c>
      <c r="E184" s="25"/>
    </row>
    <row r="185" spans="1:5" x14ac:dyDescent="0.35">
      <c r="A185" s="28"/>
      <c r="B185" s="22" t="s">
        <v>21</v>
      </c>
      <c r="C185" s="67">
        <f>+C183-C184</f>
        <v>445</v>
      </c>
      <c r="D185" s="27"/>
      <c r="E185" s="25"/>
    </row>
    <row r="186" spans="1:5" ht="15" thickBot="1" x14ac:dyDescent="0.4">
      <c r="A186" s="55"/>
      <c r="B186" s="56"/>
      <c r="C186" s="57"/>
      <c r="D186" s="58"/>
      <c r="E186" s="59"/>
    </row>
    <row r="187" spans="1:5" ht="15.5" thickTop="1" thickBot="1" x14ac:dyDescent="0.4">
      <c r="A187" s="29">
        <v>2</v>
      </c>
      <c r="B187" s="30" t="s">
        <v>23</v>
      </c>
      <c r="C187" s="31" t="s">
        <v>24</v>
      </c>
      <c r="D187" s="32">
        <v>150</v>
      </c>
      <c r="E187" s="54">
        <f>+D187*C179</f>
        <v>132150</v>
      </c>
    </row>
    <row r="188" spans="1:5" ht="18" thickTop="1" thickBot="1" x14ac:dyDescent="0.45">
      <c r="A188" s="29">
        <v>3</v>
      </c>
      <c r="B188" s="30" t="s">
        <v>43</v>
      </c>
      <c r="C188" s="31" t="s">
        <v>24</v>
      </c>
      <c r="D188" s="32">
        <v>1300</v>
      </c>
      <c r="E188" s="38">
        <f>+D188*C185</f>
        <v>578500</v>
      </c>
    </row>
    <row r="189" spans="1:5" ht="15.5" thickTop="1" thickBot="1" x14ac:dyDescent="0.4">
      <c r="A189" s="34"/>
      <c r="B189" s="34"/>
      <c r="C189" s="34"/>
      <c r="D189" s="86" t="s">
        <v>25</v>
      </c>
      <c r="E189" s="54">
        <f>E174+E187+E188</f>
        <v>3210650</v>
      </c>
    </row>
    <row r="190" spans="1:5" ht="18" thickTop="1" thickBot="1" x14ac:dyDescent="0.45">
      <c r="A190" s="231" t="s">
        <v>26</v>
      </c>
      <c r="B190" s="232"/>
      <c r="C190" s="34"/>
      <c r="D190" s="86" t="s">
        <v>27</v>
      </c>
      <c r="E190" s="84">
        <v>0</v>
      </c>
    </row>
    <row r="191" spans="1:5" ht="18" thickTop="1" thickBot="1" x14ac:dyDescent="0.45">
      <c r="A191" s="233" t="s">
        <v>45</v>
      </c>
      <c r="B191" s="234"/>
      <c r="C191" s="41"/>
      <c r="D191" s="86" t="s">
        <v>29</v>
      </c>
      <c r="E191" s="85">
        <f>+E189</f>
        <v>3210650</v>
      </c>
    </row>
    <row r="192" spans="1:5" ht="17.5" thickTop="1" x14ac:dyDescent="0.4">
      <c r="A192" s="235" t="s">
        <v>142</v>
      </c>
      <c r="B192" s="236"/>
      <c r="C192" s="41"/>
      <c r="D192" s="35"/>
      <c r="E192" s="87"/>
    </row>
    <row r="193" spans="1:7" ht="17" x14ac:dyDescent="0.4">
      <c r="A193" s="205" t="s">
        <v>80</v>
      </c>
      <c r="B193" s="206"/>
      <c r="C193" s="41"/>
      <c r="D193" s="35"/>
      <c r="E193" s="87"/>
    </row>
    <row r="194" spans="1:7" ht="17" x14ac:dyDescent="0.4">
      <c r="A194" s="205" t="s">
        <v>81</v>
      </c>
      <c r="B194" s="206"/>
      <c r="C194" s="41"/>
      <c r="D194" s="35"/>
      <c r="E194" s="87"/>
    </row>
    <row r="195" spans="1:7" x14ac:dyDescent="0.35">
      <c r="A195" s="207" t="s">
        <v>28</v>
      </c>
      <c r="B195" s="208"/>
      <c r="C195" s="3"/>
      <c r="D195" s="3"/>
      <c r="E195" s="15"/>
    </row>
    <row r="196" spans="1:7" ht="15" thickBot="1" x14ac:dyDescent="0.4">
      <c r="A196" s="209" t="s">
        <v>30</v>
      </c>
      <c r="B196" s="210"/>
      <c r="C196" s="3"/>
      <c r="D196" s="3"/>
      <c r="E196" s="15"/>
    </row>
    <row r="197" spans="1:7" ht="15" thickTop="1" x14ac:dyDescent="0.35">
      <c r="A197" s="48"/>
      <c r="B197" s="49"/>
      <c r="C197" s="3"/>
      <c r="D197" s="3"/>
      <c r="E197" s="47"/>
      <c r="G197" t="s">
        <v>119</v>
      </c>
    </row>
    <row r="198" spans="1:7" x14ac:dyDescent="0.35">
      <c r="A198" s="211" t="s">
        <v>33</v>
      </c>
      <c r="B198" s="211"/>
      <c r="C198" s="211" t="s">
        <v>1</v>
      </c>
      <c r="D198" s="211"/>
      <c r="E198" s="211"/>
    </row>
    <row r="202" spans="1:7" x14ac:dyDescent="0.35">
      <c r="A202" s="212" t="s">
        <v>34</v>
      </c>
      <c r="B202" s="212"/>
      <c r="C202" s="213" t="s">
        <v>149</v>
      </c>
      <c r="D202" s="214"/>
      <c r="E202" s="214"/>
    </row>
    <row r="203" spans="1:7" x14ac:dyDescent="0.35">
      <c r="D203" s="60" t="s">
        <v>36</v>
      </c>
      <c r="E203" s="51"/>
    </row>
    <row r="204" spans="1:7" ht="15" thickBot="1" x14ac:dyDescent="0.4">
      <c r="D204" s="60"/>
      <c r="E204" s="51"/>
    </row>
    <row r="205" spans="1:7" ht="15.5" thickTop="1" thickBot="1" x14ac:dyDescent="0.4">
      <c r="A205" s="215" t="s">
        <v>1</v>
      </c>
      <c r="B205" s="216"/>
      <c r="C205" s="3"/>
      <c r="D205" s="113" t="s">
        <v>0</v>
      </c>
      <c r="E205" s="114" t="s">
        <v>139</v>
      </c>
    </row>
    <row r="206" spans="1:7" ht="15.5" thickTop="1" thickBot="1" x14ac:dyDescent="0.4">
      <c r="A206" s="217"/>
      <c r="B206" s="218"/>
      <c r="C206" s="3"/>
      <c r="D206" s="115" t="s">
        <v>2</v>
      </c>
      <c r="E206" s="114">
        <v>45870</v>
      </c>
    </row>
    <row r="207" spans="1:7" ht="15.5" thickTop="1" thickBot="1" x14ac:dyDescent="0.4">
      <c r="A207" s="237" t="s">
        <v>104</v>
      </c>
      <c r="B207" s="238"/>
      <c r="C207" s="3"/>
      <c r="D207" s="221" t="s">
        <v>4</v>
      </c>
      <c r="E207" s="222"/>
    </row>
    <row r="208" spans="1:7" ht="15.5" thickTop="1" thickBot="1" x14ac:dyDescent="0.4">
      <c r="A208" s="237" t="s">
        <v>77</v>
      </c>
      <c r="B208" s="238"/>
      <c r="C208" s="3"/>
      <c r="D208" s="239" t="s">
        <v>37</v>
      </c>
      <c r="E208" s="240"/>
    </row>
    <row r="209" spans="1:10" ht="15.5" thickTop="1" thickBot="1" x14ac:dyDescent="0.4">
      <c r="A209" s="237" t="s">
        <v>116</v>
      </c>
      <c r="B209" s="238"/>
      <c r="C209" s="3"/>
      <c r="D209" s="241" t="s">
        <v>38</v>
      </c>
      <c r="E209" s="242"/>
    </row>
    <row r="210" spans="1:10" ht="15.5" thickTop="1" thickBot="1" x14ac:dyDescent="0.4">
      <c r="A210" s="243" t="s">
        <v>11</v>
      </c>
      <c r="B210" s="244"/>
      <c r="D210" s="245" t="s">
        <v>39</v>
      </c>
      <c r="E210" s="246"/>
      <c r="J210" s="50"/>
    </row>
    <row r="211" spans="1:10" ht="15.5" thickTop="1" thickBot="1" x14ac:dyDescent="0.4">
      <c r="A211" s="219" t="s">
        <v>79</v>
      </c>
      <c r="B211" s="220"/>
      <c r="C211" s="3"/>
      <c r="D211" s="221" t="s">
        <v>40</v>
      </c>
      <c r="E211" s="222"/>
    </row>
    <row r="212" spans="1:10" ht="30" thickTop="1" x14ac:dyDescent="0.55000000000000004">
      <c r="A212" s="223" t="s">
        <v>87</v>
      </c>
      <c r="B212" s="223"/>
      <c r="C212" s="223"/>
      <c r="D212" s="223"/>
      <c r="E212" s="223"/>
    </row>
    <row r="213" spans="1:10" ht="15" thickBot="1" x14ac:dyDescent="0.4">
      <c r="A213" s="224" t="s">
        <v>138</v>
      </c>
      <c r="B213" s="224"/>
      <c r="C213" s="3"/>
      <c r="D213" s="3"/>
      <c r="E213" s="15"/>
    </row>
    <row r="214" spans="1:10" ht="15.5" thickTop="1" thickBot="1" x14ac:dyDescent="0.4">
      <c r="A214" s="16" t="s">
        <v>14</v>
      </c>
      <c r="B214" s="225" t="s">
        <v>15</v>
      </c>
      <c r="C214" s="226"/>
      <c r="D214" s="227"/>
      <c r="E214" s="17" t="s">
        <v>16</v>
      </c>
    </row>
    <row r="215" spans="1:10" ht="15" thickTop="1" x14ac:dyDescent="0.35">
      <c r="A215" s="228">
        <v>1</v>
      </c>
      <c r="B215" s="19" t="s">
        <v>47</v>
      </c>
      <c r="C215" s="20"/>
      <c r="D215" s="20"/>
      <c r="E215" s="21">
        <v>2500000</v>
      </c>
    </row>
    <row r="216" spans="1:10" x14ac:dyDescent="0.35">
      <c r="A216" s="229"/>
      <c r="B216" s="53" t="s">
        <v>48</v>
      </c>
      <c r="C216" s="34"/>
      <c r="D216" s="34"/>
      <c r="E216" s="25"/>
    </row>
    <row r="217" spans="1:10" x14ac:dyDescent="0.35">
      <c r="A217" s="229"/>
      <c r="B217" s="53" t="s">
        <v>41</v>
      </c>
      <c r="C217" s="34"/>
      <c r="D217" s="34"/>
      <c r="E217" s="25"/>
    </row>
    <row r="218" spans="1:10" x14ac:dyDescent="0.35">
      <c r="A218" s="229"/>
      <c r="B218" s="22" t="s">
        <v>93</v>
      </c>
      <c r="C218" s="52">
        <f>'Meterading 2025'!B12</f>
        <v>83203</v>
      </c>
      <c r="D218" s="24"/>
      <c r="E218" s="25"/>
    </row>
    <row r="219" spans="1:10" ht="15" x14ac:dyDescent="0.4">
      <c r="A219" s="229"/>
      <c r="B219" s="22" t="s">
        <v>19</v>
      </c>
      <c r="C219" s="26">
        <f>'Meterading 2025'!C12</f>
        <v>84968</v>
      </c>
      <c r="D219" s="27" t="s">
        <v>20</v>
      </c>
      <c r="E219" s="25"/>
    </row>
    <row r="220" spans="1:10" ht="15" thickBot="1" x14ac:dyDescent="0.4">
      <c r="A220" s="230"/>
      <c r="B220" s="22" t="s">
        <v>21</v>
      </c>
      <c r="C220" s="67">
        <f>+C219-C218</f>
        <v>1765</v>
      </c>
      <c r="D220" s="27"/>
      <c r="E220" s="25"/>
    </row>
    <row r="221" spans="1:10" ht="15" thickTop="1" x14ac:dyDescent="0.35">
      <c r="A221" s="18"/>
      <c r="B221" s="19" t="s">
        <v>42</v>
      </c>
      <c r="C221" s="20"/>
      <c r="D221" s="20"/>
      <c r="E221" s="21"/>
    </row>
    <row r="222" spans="1:10" x14ac:dyDescent="0.35">
      <c r="A222" s="28"/>
      <c r="B222" s="22" t="s">
        <v>92</v>
      </c>
      <c r="C222" s="23">
        <f>'Meterading 2025'!F12</f>
        <v>27398</v>
      </c>
      <c r="D222" s="24"/>
      <c r="E222" s="25"/>
    </row>
    <row r="223" spans="1:10" ht="15" x14ac:dyDescent="0.4">
      <c r="A223" s="28"/>
      <c r="B223" s="22" t="s">
        <v>19</v>
      </c>
      <c r="C223" s="26">
        <f>'Meterading 2025'!G12</f>
        <v>28650</v>
      </c>
      <c r="D223" s="27" t="s">
        <v>20</v>
      </c>
      <c r="E223" s="25"/>
    </row>
    <row r="224" spans="1:10" x14ac:dyDescent="0.35">
      <c r="A224" s="28"/>
      <c r="B224" s="22" t="s">
        <v>21</v>
      </c>
      <c r="C224" s="67">
        <f>+C223-C222</f>
        <v>1252</v>
      </c>
      <c r="D224" s="27"/>
      <c r="E224" s="25"/>
    </row>
    <row r="225" spans="1:7" ht="15" x14ac:dyDescent="0.4">
      <c r="A225" s="28"/>
      <c r="B225" s="22" t="s">
        <v>22</v>
      </c>
      <c r="C225" s="26">
        <v>200</v>
      </c>
      <c r="D225" s="27" t="s">
        <v>20</v>
      </c>
      <c r="E225" s="25"/>
    </row>
    <row r="226" spans="1:7" x14ac:dyDescent="0.35">
      <c r="A226" s="28"/>
      <c r="B226" s="22" t="s">
        <v>21</v>
      </c>
      <c r="C226" s="67">
        <f>+C224-C225</f>
        <v>1052</v>
      </c>
      <c r="D226" s="27"/>
      <c r="E226" s="25"/>
    </row>
    <row r="227" spans="1:7" ht="15" thickBot="1" x14ac:dyDescent="0.4">
      <c r="A227" s="55"/>
      <c r="B227" s="56"/>
      <c r="C227" s="57"/>
      <c r="D227" s="58"/>
      <c r="E227" s="59"/>
    </row>
    <row r="228" spans="1:7" ht="15.5" thickTop="1" thickBot="1" x14ac:dyDescent="0.4">
      <c r="A228" s="29">
        <v>2</v>
      </c>
      <c r="B228" s="30" t="s">
        <v>23</v>
      </c>
      <c r="C228" s="31" t="s">
        <v>24</v>
      </c>
      <c r="D228" s="32">
        <v>150</v>
      </c>
      <c r="E228" s="54">
        <f>+D228*C220</f>
        <v>264750</v>
      </c>
    </row>
    <row r="229" spans="1:7" ht="18" thickTop="1" thickBot="1" x14ac:dyDescent="0.45">
      <c r="A229" s="29">
        <v>3</v>
      </c>
      <c r="B229" s="30" t="s">
        <v>43</v>
      </c>
      <c r="C229" s="31" t="s">
        <v>24</v>
      </c>
      <c r="D229" s="32">
        <v>1300</v>
      </c>
      <c r="E229" s="38">
        <f>+D229*C226</f>
        <v>1367600</v>
      </c>
    </row>
    <row r="230" spans="1:7" ht="15.5" thickTop="1" thickBot="1" x14ac:dyDescent="0.4">
      <c r="A230" s="34"/>
      <c r="B230" s="34"/>
      <c r="C230" s="34"/>
      <c r="D230" s="86" t="s">
        <v>25</v>
      </c>
      <c r="E230" s="54">
        <f>E215+E228+E229</f>
        <v>4132350</v>
      </c>
    </row>
    <row r="231" spans="1:7" ht="18" thickTop="1" thickBot="1" x14ac:dyDescent="0.45">
      <c r="A231" s="231" t="s">
        <v>26</v>
      </c>
      <c r="B231" s="232"/>
      <c r="C231" s="34"/>
      <c r="D231" s="86" t="s">
        <v>27</v>
      </c>
      <c r="E231" s="84">
        <v>0</v>
      </c>
    </row>
    <row r="232" spans="1:7" ht="18" thickTop="1" thickBot="1" x14ac:dyDescent="0.45">
      <c r="A232" s="233" t="s">
        <v>45</v>
      </c>
      <c r="B232" s="234"/>
      <c r="C232" s="41"/>
      <c r="D232" s="86" t="s">
        <v>29</v>
      </c>
      <c r="E232" s="85">
        <f>+E230</f>
        <v>4132350</v>
      </c>
    </row>
    <row r="233" spans="1:7" ht="17.5" thickTop="1" x14ac:dyDescent="0.4">
      <c r="A233" s="235" t="s">
        <v>142</v>
      </c>
      <c r="B233" s="236"/>
      <c r="C233" s="41"/>
      <c r="D233" s="35"/>
      <c r="E233" s="87"/>
    </row>
    <row r="234" spans="1:7" ht="17" x14ac:dyDescent="0.4">
      <c r="A234" s="205" t="s">
        <v>80</v>
      </c>
      <c r="B234" s="206"/>
      <c r="C234" s="41"/>
      <c r="D234" s="35"/>
      <c r="E234" s="87"/>
    </row>
    <row r="235" spans="1:7" ht="17" x14ac:dyDescent="0.4">
      <c r="A235" s="205" t="s">
        <v>81</v>
      </c>
      <c r="B235" s="206"/>
      <c r="C235" s="41"/>
      <c r="D235" s="35"/>
      <c r="E235" s="87"/>
    </row>
    <row r="236" spans="1:7" x14ac:dyDescent="0.35">
      <c r="A236" s="207" t="s">
        <v>28</v>
      </c>
      <c r="B236" s="208"/>
      <c r="C236" s="3"/>
      <c r="D236" s="3"/>
      <c r="E236" s="15"/>
    </row>
    <row r="237" spans="1:7" ht="15" thickBot="1" x14ac:dyDescent="0.4">
      <c r="A237" s="209" t="s">
        <v>30</v>
      </c>
      <c r="B237" s="210"/>
      <c r="C237" s="3"/>
      <c r="D237" s="3"/>
      <c r="E237" s="15"/>
    </row>
    <row r="238" spans="1:7" ht="15" thickTop="1" x14ac:dyDescent="0.35">
      <c r="A238" s="48"/>
      <c r="B238" s="49"/>
      <c r="C238" s="3"/>
      <c r="D238" s="3"/>
      <c r="E238" s="47"/>
      <c r="G238" t="s">
        <v>119</v>
      </c>
    </row>
    <row r="239" spans="1:7" x14ac:dyDescent="0.35">
      <c r="A239" s="211" t="s">
        <v>33</v>
      </c>
      <c r="B239" s="211"/>
      <c r="C239" s="211" t="s">
        <v>1</v>
      </c>
      <c r="D239" s="211"/>
      <c r="E239" s="211"/>
    </row>
    <row r="243" spans="1:10" x14ac:dyDescent="0.35">
      <c r="A243" s="212" t="s">
        <v>34</v>
      </c>
      <c r="B243" s="212"/>
      <c r="C243" s="247" t="s">
        <v>106</v>
      </c>
      <c r="D243" s="247"/>
      <c r="E243" s="247"/>
    </row>
    <row r="244" spans="1:10" x14ac:dyDescent="0.35">
      <c r="D244" s="60" t="s">
        <v>36</v>
      </c>
      <c r="E244" s="51"/>
    </row>
    <row r="245" spans="1:10" ht="15" thickBot="1" x14ac:dyDescent="0.4">
      <c r="D245" s="60"/>
      <c r="E245" s="51"/>
    </row>
    <row r="246" spans="1:10" ht="15.5" thickTop="1" thickBot="1" x14ac:dyDescent="0.4">
      <c r="A246" s="215" t="s">
        <v>1</v>
      </c>
      <c r="B246" s="216"/>
      <c r="C246" s="3"/>
      <c r="D246" s="113" t="s">
        <v>0</v>
      </c>
      <c r="E246" s="114" t="s">
        <v>135</v>
      </c>
    </row>
    <row r="247" spans="1:10" ht="15.5" thickTop="1" thickBot="1" x14ac:dyDescent="0.4">
      <c r="A247" s="217"/>
      <c r="B247" s="218"/>
      <c r="C247" s="3"/>
      <c r="D247" s="115" t="s">
        <v>2</v>
      </c>
      <c r="E247" s="114">
        <v>45839</v>
      </c>
    </row>
    <row r="248" spans="1:10" ht="15.5" thickTop="1" thickBot="1" x14ac:dyDescent="0.4">
      <c r="A248" s="237" t="s">
        <v>104</v>
      </c>
      <c r="B248" s="238"/>
      <c r="C248" s="3"/>
      <c r="D248" s="221" t="s">
        <v>4</v>
      </c>
      <c r="E248" s="222"/>
    </row>
    <row r="249" spans="1:10" ht="15.5" thickTop="1" thickBot="1" x14ac:dyDescent="0.4">
      <c r="A249" s="237" t="s">
        <v>77</v>
      </c>
      <c r="B249" s="238"/>
      <c r="C249" s="3"/>
      <c r="D249" s="239" t="s">
        <v>37</v>
      </c>
      <c r="E249" s="240"/>
    </row>
    <row r="250" spans="1:10" ht="15.5" thickTop="1" thickBot="1" x14ac:dyDescent="0.4">
      <c r="A250" s="237" t="s">
        <v>116</v>
      </c>
      <c r="B250" s="238"/>
      <c r="C250" s="3"/>
      <c r="D250" s="241" t="s">
        <v>38</v>
      </c>
      <c r="E250" s="242"/>
    </row>
    <row r="251" spans="1:10" ht="15.5" thickTop="1" thickBot="1" x14ac:dyDescent="0.4">
      <c r="A251" s="243" t="s">
        <v>11</v>
      </c>
      <c r="B251" s="244"/>
      <c r="D251" s="245" t="s">
        <v>39</v>
      </c>
      <c r="E251" s="246"/>
      <c r="J251" s="50"/>
    </row>
    <row r="252" spans="1:10" ht="15.5" thickTop="1" thickBot="1" x14ac:dyDescent="0.4">
      <c r="A252" s="219" t="s">
        <v>79</v>
      </c>
      <c r="B252" s="220"/>
      <c r="C252" s="3"/>
      <c r="D252" s="221" t="s">
        <v>40</v>
      </c>
      <c r="E252" s="222"/>
    </row>
    <row r="253" spans="1:10" ht="30" thickTop="1" x14ac:dyDescent="0.55000000000000004">
      <c r="A253" s="223" t="s">
        <v>87</v>
      </c>
      <c r="B253" s="223"/>
      <c r="C253" s="223"/>
      <c r="D253" s="223"/>
      <c r="E253" s="223"/>
    </row>
    <row r="254" spans="1:10" ht="15" thickBot="1" x14ac:dyDescent="0.4">
      <c r="A254" s="224" t="s">
        <v>134</v>
      </c>
      <c r="B254" s="224"/>
      <c r="C254" s="3"/>
      <c r="D254" s="3"/>
      <c r="E254" s="15"/>
    </row>
    <row r="255" spans="1:10" ht="15.5" thickTop="1" thickBot="1" x14ac:dyDescent="0.4">
      <c r="A255" s="16" t="s">
        <v>14</v>
      </c>
      <c r="B255" s="225" t="s">
        <v>15</v>
      </c>
      <c r="C255" s="226"/>
      <c r="D255" s="227"/>
      <c r="E255" s="17" t="s">
        <v>16</v>
      </c>
    </row>
    <row r="256" spans="1:10" ht="15" thickTop="1" x14ac:dyDescent="0.35">
      <c r="A256" s="228">
        <v>1</v>
      </c>
      <c r="B256" s="19" t="s">
        <v>47</v>
      </c>
      <c r="C256" s="20"/>
      <c r="D256" s="20"/>
      <c r="E256" s="21">
        <v>2500000</v>
      </c>
    </row>
    <row r="257" spans="1:5" x14ac:dyDescent="0.35">
      <c r="A257" s="229"/>
      <c r="B257" s="53" t="s">
        <v>48</v>
      </c>
      <c r="C257" s="34"/>
      <c r="D257" s="34"/>
      <c r="E257" s="25"/>
    </row>
    <row r="258" spans="1:5" x14ac:dyDescent="0.35">
      <c r="A258" s="229"/>
      <c r="B258" s="53" t="s">
        <v>41</v>
      </c>
      <c r="C258" s="34"/>
      <c r="D258" s="34"/>
      <c r="E258" s="25"/>
    </row>
    <row r="259" spans="1:5" x14ac:dyDescent="0.35">
      <c r="A259" s="229"/>
      <c r="B259" s="22" t="s">
        <v>93</v>
      </c>
      <c r="C259" s="52">
        <f>'Meterading 2025'!B11</f>
        <v>81259</v>
      </c>
      <c r="D259" s="24"/>
      <c r="E259" s="25"/>
    </row>
    <row r="260" spans="1:5" ht="15" x14ac:dyDescent="0.4">
      <c r="A260" s="229"/>
      <c r="B260" s="22" t="s">
        <v>19</v>
      </c>
      <c r="C260" s="26">
        <f>'Meterading 2025'!C11</f>
        <v>83203</v>
      </c>
      <c r="D260" s="27" t="s">
        <v>20</v>
      </c>
      <c r="E260" s="25"/>
    </row>
    <row r="261" spans="1:5" ht="15" thickBot="1" x14ac:dyDescent="0.4">
      <c r="A261" s="230"/>
      <c r="B261" s="22" t="s">
        <v>21</v>
      </c>
      <c r="C261" s="67">
        <f>+C260-C259</f>
        <v>1944</v>
      </c>
      <c r="D261" s="27"/>
      <c r="E261" s="25"/>
    </row>
    <row r="262" spans="1:5" ht="15" thickTop="1" x14ac:dyDescent="0.35">
      <c r="A262" s="18"/>
      <c r="B262" s="19" t="s">
        <v>42</v>
      </c>
      <c r="C262" s="20"/>
      <c r="D262" s="20"/>
      <c r="E262" s="21"/>
    </row>
    <row r="263" spans="1:5" x14ac:dyDescent="0.35">
      <c r="A263" s="28"/>
      <c r="B263" s="22" t="s">
        <v>92</v>
      </c>
      <c r="C263" s="23">
        <f>'Meterading 2025'!F11</f>
        <v>25796</v>
      </c>
      <c r="D263" s="24"/>
      <c r="E263" s="25"/>
    </row>
    <row r="264" spans="1:5" ht="15" x14ac:dyDescent="0.4">
      <c r="A264" s="28"/>
      <c r="B264" s="22" t="s">
        <v>19</v>
      </c>
      <c r="C264" s="26">
        <f>'Meterading 2025'!G11</f>
        <v>27398</v>
      </c>
      <c r="D264" s="27" t="s">
        <v>20</v>
      </c>
      <c r="E264" s="25"/>
    </row>
    <row r="265" spans="1:5" x14ac:dyDescent="0.35">
      <c r="A265" s="28"/>
      <c r="B265" s="22" t="s">
        <v>21</v>
      </c>
      <c r="C265" s="67">
        <f>+C264-C263</f>
        <v>1602</v>
      </c>
      <c r="D265" s="27"/>
      <c r="E265" s="25"/>
    </row>
    <row r="266" spans="1:5" ht="15" x14ac:dyDescent="0.4">
      <c r="A266" s="28"/>
      <c r="B266" s="22" t="s">
        <v>22</v>
      </c>
      <c r="C266" s="26">
        <v>200</v>
      </c>
      <c r="D266" s="27" t="s">
        <v>20</v>
      </c>
      <c r="E266" s="25"/>
    </row>
    <row r="267" spans="1:5" x14ac:dyDescent="0.35">
      <c r="A267" s="28"/>
      <c r="B267" s="22" t="s">
        <v>21</v>
      </c>
      <c r="C267" s="67">
        <f>+C265-C266</f>
        <v>1402</v>
      </c>
      <c r="D267" s="27"/>
      <c r="E267" s="25"/>
    </row>
    <row r="268" spans="1:5" ht="15" thickBot="1" x14ac:dyDescent="0.4">
      <c r="A268" s="55"/>
      <c r="B268" s="56"/>
      <c r="C268" s="57"/>
      <c r="D268" s="58"/>
      <c r="E268" s="59"/>
    </row>
    <row r="269" spans="1:5" ht="15.5" thickTop="1" thickBot="1" x14ac:dyDescent="0.4">
      <c r="A269" s="29">
        <v>2</v>
      </c>
      <c r="B269" s="30" t="s">
        <v>23</v>
      </c>
      <c r="C269" s="31" t="s">
        <v>24</v>
      </c>
      <c r="D269" s="32">
        <v>150</v>
      </c>
      <c r="E269" s="54">
        <f>+D269*C261</f>
        <v>291600</v>
      </c>
    </row>
    <row r="270" spans="1:5" ht="18" thickTop="1" thickBot="1" x14ac:dyDescent="0.45">
      <c r="A270" s="29">
        <v>3</v>
      </c>
      <c r="B270" s="30" t="s">
        <v>43</v>
      </c>
      <c r="C270" s="31" t="s">
        <v>24</v>
      </c>
      <c r="D270" s="32">
        <v>1300</v>
      </c>
      <c r="E270" s="38">
        <f>+D270*C267</f>
        <v>1822600</v>
      </c>
    </row>
    <row r="271" spans="1:5" ht="15.5" thickTop="1" thickBot="1" x14ac:dyDescent="0.4">
      <c r="A271" s="34"/>
      <c r="B271" s="34"/>
      <c r="C271" s="34"/>
      <c r="D271" s="86" t="s">
        <v>25</v>
      </c>
      <c r="E271" s="54">
        <f>E256+E269+E270</f>
        <v>4614200</v>
      </c>
    </row>
    <row r="272" spans="1:5" ht="18" thickTop="1" thickBot="1" x14ac:dyDescent="0.45">
      <c r="A272" s="231" t="s">
        <v>26</v>
      </c>
      <c r="B272" s="232"/>
      <c r="C272" s="34"/>
      <c r="D272" s="86" t="s">
        <v>27</v>
      </c>
      <c r="E272" s="84">
        <v>0</v>
      </c>
    </row>
    <row r="273" spans="1:7" ht="18" thickTop="1" thickBot="1" x14ac:dyDescent="0.45">
      <c r="A273" s="233" t="s">
        <v>45</v>
      </c>
      <c r="B273" s="234"/>
      <c r="C273" s="41"/>
      <c r="D273" s="86" t="s">
        <v>29</v>
      </c>
      <c r="E273" s="85">
        <f>+E271</f>
        <v>4614200</v>
      </c>
    </row>
    <row r="274" spans="1:7" ht="17.5" thickTop="1" x14ac:dyDescent="0.4">
      <c r="A274" s="235" t="s">
        <v>46</v>
      </c>
      <c r="B274" s="236"/>
      <c r="C274" s="41"/>
      <c r="D274" s="35"/>
      <c r="E274" s="87"/>
    </row>
    <row r="275" spans="1:7" ht="17" x14ac:dyDescent="0.4">
      <c r="A275" s="205" t="s">
        <v>80</v>
      </c>
      <c r="B275" s="206"/>
      <c r="C275" s="41"/>
      <c r="D275" s="35"/>
      <c r="E275" s="87"/>
    </row>
    <row r="276" spans="1:7" ht="17" x14ac:dyDescent="0.4">
      <c r="A276" s="205" t="s">
        <v>81</v>
      </c>
      <c r="B276" s="206"/>
      <c r="C276" s="41"/>
      <c r="D276" s="35"/>
      <c r="E276" s="87"/>
    </row>
    <row r="277" spans="1:7" x14ac:dyDescent="0.35">
      <c r="A277" s="207" t="s">
        <v>28</v>
      </c>
      <c r="B277" s="208"/>
      <c r="C277" s="3"/>
      <c r="D277" s="3"/>
      <c r="E277" s="15"/>
    </row>
    <row r="278" spans="1:7" ht="15" thickBot="1" x14ac:dyDescent="0.4">
      <c r="A278" s="209" t="s">
        <v>30</v>
      </c>
      <c r="B278" s="210"/>
      <c r="C278" s="3"/>
      <c r="D278" s="3"/>
      <c r="E278" s="15"/>
    </row>
    <row r="279" spans="1:7" ht="15" thickTop="1" x14ac:dyDescent="0.35">
      <c r="A279" s="48"/>
      <c r="B279" s="49"/>
      <c r="C279" s="3"/>
      <c r="D279" s="3"/>
      <c r="E279" s="47"/>
      <c r="G279" t="s">
        <v>119</v>
      </c>
    </row>
    <row r="280" spans="1:7" x14ac:dyDescent="0.35">
      <c r="A280" s="211" t="s">
        <v>33</v>
      </c>
      <c r="B280" s="211"/>
      <c r="C280" s="211" t="s">
        <v>1</v>
      </c>
      <c r="D280" s="211"/>
      <c r="E280" s="211"/>
    </row>
    <row r="284" spans="1:7" x14ac:dyDescent="0.35">
      <c r="A284" s="212" t="s">
        <v>34</v>
      </c>
      <c r="B284" s="212"/>
      <c r="C284" s="247" t="s">
        <v>106</v>
      </c>
      <c r="D284" s="247"/>
      <c r="E284" s="247"/>
    </row>
    <row r="285" spans="1:7" x14ac:dyDescent="0.35">
      <c r="D285" s="60" t="s">
        <v>36</v>
      </c>
      <c r="E285" s="51"/>
    </row>
    <row r="286" spans="1:7" ht="15" thickBot="1" x14ac:dyDescent="0.4">
      <c r="D286" s="60"/>
      <c r="E286" s="51"/>
    </row>
    <row r="287" spans="1:7" ht="15.5" thickTop="1" thickBot="1" x14ac:dyDescent="0.4">
      <c r="A287" s="215" t="s">
        <v>1</v>
      </c>
      <c r="B287" s="216"/>
      <c r="C287" s="3"/>
      <c r="D287" s="113" t="s">
        <v>0</v>
      </c>
      <c r="E287" s="114" t="s">
        <v>130</v>
      </c>
    </row>
    <row r="288" spans="1:7" ht="15.5" thickTop="1" thickBot="1" x14ac:dyDescent="0.4">
      <c r="A288" s="217"/>
      <c r="B288" s="218"/>
      <c r="C288" s="3"/>
      <c r="D288" s="115" t="s">
        <v>2</v>
      </c>
      <c r="E288" s="114">
        <v>45810</v>
      </c>
    </row>
    <row r="289" spans="1:10" ht="15.5" thickTop="1" thickBot="1" x14ac:dyDescent="0.4">
      <c r="A289" s="237" t="s">
        <v>104</v>
      </c>
      <c r="B289" s="238"/>
      <c r="C289" s="3"/>
      <c r="D289" s="221" t="s">
        <v>4</v>
      </c>
      <c r="E289" s="222"/>
    </row>
    <row r="290" spans="1:10" ht="15.5" thickTop="1" thickBot="1" x14ac:dyDescent="0.4">
      <c r="A290" s="237" t="s">
        <v>77</v>
      </c>
      <c r="B290" s="238"/>
      <c r="C290" s="3"/>
      <c r="D290" s="239" t="s">
        <v>37</v>
      </c>
      <c r="E290" s="240"/>
    </row>
    <row r="291" spans="1:10" ht="15.5" thickTop="1" thickBot="1" x14ac:dyDescent="0.4">
      <c r="A291" s="237" t="s">
        <v>116</v>
      </c>
      <c r="B291" s="238"/>
      <c r="C291" s="3"/>
      <c r="D291" s="241" t="s">
        <v>38</v>
      </c>
      <c r="E291" s="242"/>
    </row>
    <row r="292" spans="1:10" ht="15.5" thickTop="1" thickBot="1" x14ac:dyDescent="0.4">
      <c r="A292" s="243" t="s">
        <v>11</v>
      </c>
      <c r="B292" s="244"/>
      <c r="D292" s="245" t="s">
        <v>39</v>
      </c>
      <c r="E292" s="246"/>
      <c r="J292" s="50"/>
    </row>
    <row r="293" spans="1:10" ht="15.5" thickTop="1" thickBot="1" x14ac:dyDescent="0.4">
      <c r="A293" s="219" t="s">
        <v>79</v>
      </c>
      <c r="B293" s="220"/>
      <c r="C293" s="3"/>
      <c r="D293" s="221" t="s">
        <v>40</v>
      </c>
      <c r="E293" s="222"/>
    </row>
    <row r="294" spans="1:10" ht="30" thickTop="1" x14ac:dyDescent="0.55000000000000004">
      <c r="A294" s="223" t="s">
        <v>87</v>
      </c>
      <c r="B294" s="223"/>
      <c r="C294" s="223"/>
      <c r="D294" s="223"/>
      <c r="E294" s="223"/>
    </row>
    <row r="295" spans="1:10" ht="15" thickBot="1" x14ac:dyDescent="0.4">
      <c r="A295" s="224" t="s">
        <v>133</v>
      </c>
      <c r="B295" s="224"/>
      <c r="C295" s="3"/>
      <c r="D295" s="3"/>
      <c r="E295" s="15"/>
    </row>
    <row r="296" spans="1:10" ht="15.5" thickTop="1" thickBot="1" x14ac:dyDescent="0.4">
      <c r="A296" s="16" t="s">
        <v>14</v>
      </c>
      <c r="B296" s="225" t="s">
        <v>15</v>
      </c>
      <c r="C296" s="226"/>
      <c r="D296" s="227"/>
      <c r="E296" s="17" t="s">
        <v>16</v>
      </c>
    </row>
    <row r="297" spans="1:10" ht="15" thickTop="1" x14ac:dyDescent="0.35">
      <c r="A297" s="228">
        <v>1</v>
      </c>
      <c r="B297" s="19" t="s">
        <v>47</v>
      </c>
      <c r="C297" s="20"/>
      <c r="D297" s="20"/>
      <c r="E297" s="21">
        <v>2500000</v>
      </c>
    </row>
    <row r="298" spans="1:10" x14ac:dyDescent="0.35">
      <c r="A298" s="229"/>
      <c r="B298" s="53" t="s">
        <v>48</v>
      </c>
      <c r="C298" s="34"/>
      <c r="D298" s="34"/>
      <c r="E298" s="25"/>
    </row>
    <row r="299" spans="1:10" x14ac:dyDescent="0.35">
      <c r="A299" s="229"/>
      <c r="B299" s="53" t="s">
        <v>41</v>
      </c>
      <c r="C299" s="34"/>
      <c r="D299" s="34"/>
      <c r="E299" s="25"/>
    </row>
    <row r="300" spans="1:10" x14ac:dyDescent="0.35">
      <c r="A300" s="229"/>
      <c r="B300" s="22" t="s">
        <v>93</v>
      </c>
      <c r="C300" s="52">
        <f>'Meterading 2025'!B10</f>
        <v>78332</v>
      </c>
      <c r="D300" s="24"/>
      <c r="E300" s="25"/>
    </row>
    <row r="301" spans="1:10" ht="15" x14ac:dyDescent="0.4">
      <c r="A301" s="229"/>
      <c r="B301" s="22" t="s">
        <v>19</v>
      </c>
      <c r="C301" s="26">
        <f>'Meterading 2025'!C10</f>
        <v>81259</v>
      </c>
      <c r="D301" s="27" t="s">
        <v>20</v>
      </c>
      <c r="E301" s="25"/>
    </row>
    <row r="302" spans="1:10" ht="15" thickBot="1" x14ac:dyDescent="0.4">
      <c r="A302" s="230"/>
      <c r="B302" s="22" t="s">
        <v>21</v>
      </c>
      <c r="C302" s="67">
        <f>+C301-C300</f>
        <v>2927</v>
      </c>
      <c r="D302" s="27"/>
      <c r="E302" s="25"/>
    </row>
    <row r="303" spans="1:10" ht="15" thickTop="1" x14ac:dyDescent="0.35">
      <c r="A303" s="18"/>
      <c r="B303" s="19" t="s">
        <v>42</v>
      </c>
      <c r="C303" s="20"/>
      <c r="D303" s="20"/>
      <c r="E303" s="21"/>
    </row>
    <row r="304" spans="1:10" x14ac:dyDescent="0.35">
      <c r="A304" s="28"/>
      <c r="B304" s="22" t="s">
        <v>92</v>
      </c>
      <c r="C304" s="23">
        <f>'Meterading 2025'!F10</f>
        <v>24132</v>
      </c>
      <c r="D304" s="24"/>
      <c r="E304" s="25"/>
    </row>
    <row r="305" spans="1:7" ht="15" x14ac:dyDescent="0.4">
      <c r="A305" s="28"/>
      <c r="B305" s="22" t="s">
        <v>19</v>
      </c>
      <c r="C305" s="26">
        <f>'Meterading 2025'!G10</f>
        <v>25796</v>
      </c>
      <c r="D305" s="27" t="s">
        <v>20</v>
      </c>
      <c r="E305" s="25"/>
    </row>
    <row r="306" spans="1:7" x14ac:dyDescent="0.35">
      <c r="A306" s="28"/>
      <c r="B306" s="22" t="s">
        <v>21</v>
      </c>
      <c r="C306" s="67">
        <f>+C305-C304</f>
        <v>1664</v>
      </c>
      <c r="D306" s="27"/>
      <c r="E306" s="25"/>
    </row>
    <row r="307" spans="1:7" ht="15" x14ac:dyDescent="0.4">
      <c r="A307" s="28"/>
      <c r="B307" s="22" t="s">
        <v>22</v>
      </c>
      <c r="C307" s="26">
        <v>200</v>
      </c>
      <c r="D307" s="27" t="s">
        <v>20</v>
      </c>
      <c r="E307" s="25"/>
    </row>
    <row r="308" spans="1:7" x14ac:dyDescent="0.35">
      <c r="A308" s="28"/>
      <c r="B308" s="22" t="s">
        <v>21</v>
      </c>
      <c r="C308" s="67">
        <f>+C306-C307</f>
        <v>1464</v>
      </c>
      <c r="D308" s="27"/>
      <c r="E308" s="25"/>
    </row>
    <row r="309" spans="1:7" ht="15" thickBot="1" x14ac:dyDescent="0.4">
      <c r="A309" s="55"/>
      <c r="B309" s="56"/>
      <c r="C309" s="57"/>
      <c r="D309" s="58"/>
      <c r="E309" s="59"/>
    </row>
    <row r="310" spans="1:7" ht="15.5" thickTop="1" thickBot="1" x14ac:dyDescent="0.4">
      <c r="A310" s="29">
        <v>2</v>
      </c>
      <c r="B310" s="30" t="s">
        <v>23</v>
      </c>
      <c r="C310" s="31" t="s">
        <v>24</v>
      </c>
      <c r="D310" s="32">
        <v>150</v>
      </c>
      <c r="E310" s="54">
        <f>+D310*C302</f>
        <v>439050</v>
      </c>
    </row>
    <row r="311" spans="1:7" ht="18" thickTop="1" thickBot="1" x14ac:dyDescent="0.45">
      <c r="A311" s="29">
        <v>3</v>
      </c>
      <c r="B311" s="30" t="s">
        <v>43</v>
      </c>
      <c r="C311" s="31" t="s">
        <v>24</v>
      </c>
      <c r="D311" s="32">
        <v>1300</v>
      </c>
      <c r="E311" s="38">
        <f>+D311*C308</f>
        <v>1903200</v>
      </c>
    </row>
    <row r="312" spans="1:7" ht="15.5" thickTop="1" thickBot="1" x14ac:dyDescent="0.4">
      <c r="A312" s="34"/>
      <c r="B312" s="34"/>
      <c r="C312" s="34"/>
      <c r="D312" s="86" t="s">
        <v>25</v>
      </c>
      <c r="E312" s="54">
        <f>E297+E310+E311</f>
        <v>4842250</v>
      </c>
    </row>
    <row r="313" spans="1:7" ht="18" thickTop="1" thickBot="1" x14ac:dyDescent="0.45">
      <c r="A313" s="231" t="s">
        <v>26</v>
      </c>
      <c r="B313" s="232"/>
      <c r="C313" s="34"/>
      <c r="D313" s="86" t="s">
        <v>27</v>
      </c>
      <c r="E313" s="84">
        <v>0</v>
      </c>
    </row>
    <row r="314" spans="1:7" ht="18" thickTop="1" thickBot="1" x14ac:dyDescent="0.45">
      <c r="A314" s="233" t="s">
        <v>45</v>
      </c>
      <c r="B314" s="234"/>
      <c r="C314" s="41"/>
      <c r="D314" s="86" t="s">
        <v>29</v>
      </c>
      <c r="E314" s="85">
        <f>+E312</f>
        <v>4842250</v>
      </c>
    </row>
    <row r="315" spans="1:7" ht="17.5" thickTop="1" x14ac:dyDescent="0.4">
      <c r="A315" s="235" t="s">
        <v>46</v>
      </c>
      <c r="B315" s="236"/>
      <c r="C315" s="41"/>
      <c r="D315" s="35"/>
      <c r="E315" s="87"/>
    </row>
    <row r="316" spans="1:7" ht="17" x14ac:dyDescent="0.4">
      <c r="A316" s="205" t="s">
        <v>80</v>
      </c>
      <c r="B316" s="206"/>
      <c r="C316" s="41"/>
      <c r="D316" s="35"/>
      <c r="E316" s="87"/>
    </row>
    <row r="317" spans="1:7" ht="17" x14ac:dyDescent="0.4">
      <c r="A317" s="205" t="s">
        <v>81</v>
      </c>
      <c r="B317" s="206"/>
      <c r="C317" s="41"/>
      <c r="D317" s="35"/>
      <c r="E317" s="87"/>
    </row>
    <row r="318" spans="1:7" x14ac:dyDescent="0.35">
      <c r="A318" s="207" t="s">
        <v>28</v>
      </c>
      <c r="B318" s="208"/>
      <c r="C318" s="3"/>
      <c r="D318" s="3"/>
      <c r="E318" s="15"/>
    </row>
    <row r="319" spans="1:7" ht="15" thickBot="1" x14ac:dyDescent="0.4">
      <c r="A319" s="209" t="s">
        <v>30</v>
      </c>
      <c r="B319" s="210"/>
      <c r="C319" s="3"/>
      <c r="D319" s="3"/>
      <c r="E319" s="15"/>
    </row>
    <row r="320" spans="1:7" ht="15" thickTop="1" x14ac:dyDescent="0.35">
      <c r="A320" s="48"/>
      <c r="B320" s="49"/>
      <c r="C320" s="3"/>
      <c r="D320" s="3"/>
      <c r="E320" s="47"/>
      <c r="G320" t="s">
        <v>119</v>
      </c>
    </row>
    <row r="321" spans="1:10" x14ac:dyDescent="0.35">
      <c r="A321" s="211" t="s">
        <v>33</v>
      </c>
      <c r="B321" s="211"/>
      <c r="C321" s="211" t="s">
        <v>1</v>
      </c>
      <c r="D321" s="211"/>
      <c r="E321" s="211"/>
    </row>
    <row r="325" spans="1:10" x14ac:dyDescent="0.35">
      <c r="A325" s="212" t="s">
        <v>34</v>
      </c>
      <c r="B325" s="212"/>
      <c r="C325" s="247" t="s">
        <v>106</v>
      </c>
      <c r="D325" s="247"/>
      <c r="E325" s="247"/>
    </row>
    <row r="326" spans="1:10" x14ac:dyDescent="0.35">
      <c r="D326" s="60" t="s">
        <v>36</v>
      </c>
      <c r="E326" s="51"/>
    </row>
    <row r="327" spans="1:10" ht="15" thickBot="1" x14ac:dyDescent="0.4">
      <c r="D327" s="60"/>
      <c r="E327" s="51"/>
    </row>
    <row r="328" spans="1:10" ht="15.5" thickTop="1" thickBot="1" x14ac:dyDescent="0.4">
      <c r="A328" s="215" t="s">
        <v>1</v>
      </c>
      <c r="B328" s="216"/>
      <c r="C328" s="3"/>
      <c r="D328" s="113" t="s">
        <v>0</v>
      </c>
      <c r="E328" s="114" t="s">
        <v>126</v>
      </c>
    </row>
    <row r="329" spans="1:10" ht="15.5" thickTop="1" thickBot="1" x14ac:dyDescent="0.4">
      <c r="A329" s="217"/>
      <c r="B329" s="218"/>
      <c r="C329" s="3"/>
      <c r="D329" s="115" t="s">
        <v>2</v>
      </c>
      <c r="E329" s="114">
        <v>45779</v>
      </c>
    </row>
    <row r="330" spans="1:10" ht="15.5" thickTop="1" thickBot="1" x14ac:dyDescent="0.4">
      <c r="A330" s="237" t="s">
        <v>104</v>
      </c>
      <c r="B330" s="238"/>
      <c r="C330" s="3"/>
      <c r="D330" s="221" t="s">
        <v>4</v>
      </c>
      <c r="E330" s="222"/>
    </row>
    <row r="331" spans="1:10" ht="15.5" thickTop="1" thickBot="1" x14ac:dyDescent="0.4">
      <c r="A331" s="237" t="s">
        <v>77</v>
      </c>
      <c r="B331" s="238"/>
      <c r="C331" s="3"/>
      <c r="D331" s="239" t="s">
        <v>37</v>
      </c>
      <c r="E331" s="240"/>
    </row>
    <row r="332" spans="1:10" ht="15.5" thickTop="1" thickBot="1" x14ac:dyDescent="0.4">
      <c r="A332" s="237" t="s">
        <v>116</v>
      </c>
      <c r="B332" s="238"/>
      <c r="C332" s="3"/>
      <c r="D332" s="241" t="s">
        <v>38</v>
      </c>
      <c r="E332" s="242"/>
    </row>
    <row r="333" spans="1:10" ht="15.5" thickTop="1" thickBot="1" x14ac:dyDescent="0.4">
      <c r="A333" s="243" t="s">
        <v>11</v>
      </c>
      <c r="B333" s="244"/>
      <c r="D333" s="245" t="s">
        <v>39</v>
      </c>
      <c r="E333" s="246"/>
      <c r="J333" s="50"/>
    </row>
    <row r="334" spans="1:10" ht="15.5" thickTop="1" thickBot="1" x14ac:dyDescent="0.4">
      <c r="A334" s="219" t="s">
        <v>79</v>
      </c>
      <c r="B334" s="220"/>
      <c r="C334" s="3"/>
      <c r="D334" s="221" t="s">
        <v>40</v>
      </c>
      <c r="E334" s="222"/>
    </row>
    <row r="335" spans="1:10" ht="30" thickTop="1" x14ac:dyDescent="0.55000000000000004">
      <c r="A335" s="223" t="s">
        <v>87</v>
      </c>
      <c r="B335" s="223"/>
      <c r="C335" s="223"/>
      <c r="D335" s="223"/>
      <c r="E335" s="223"/>
    </row>
    <row r="336" spans="1:10" ht="15" thickBot="1" x14ac:dyDescent="0.4">
      <c r="A336" s="224" t="s">
        <v>125</v>
      </c>
      <c r="B336" s="224"/>
      <c r="C336" s="3"/>
      <c r="D336" s="3"/>
      <c r="E336" s="15"/>
    </row>
    <row r="337" spans="1:5" ht="15.5" thickTop="1" thickBot="1" x14ac:dyDescent="0.4">
      <c r="A337" s="16" t="s">
        <v>14</v>
      </c>
      <c r="B337" s="225" t="s">
        <v>15</v>
      </c>
      <c r="C337" s="226"/>
      <c r="D337" s="227"/>
      <c r="E337" s="17" t="s">
        <v>16</v>
      </c>
    </row>
    <row r="338" spans="1:5" ht="15" thickTop="1" x14ac:dyDescent="0.35">
      <c r="A338" s="228">
        <v>1</v>
      </c>
      <c r="B338" s="19" t="s">
        <v>47</v>
      </c>
      <c r="C338" s="20"/>
      <c r="D338" s="20"/>
      <c r="E338" s="21">
        <v>2500000</v>
      </c>
    </row>
    <row r="339" spans="1:5" x14ac:dyDescent="0.35">
      <c r="A339" s="229"/>
      <c r="B339" s="53" t="s">
        <v>48</v>
      </c>
      <c r="C339" s="34"/>
      <c r="D339" s="34"/>
      <c r="E339" s="25"/>
    </row>
    <row r="340" spans="1:5" x14ac:dyDescent="0.35">
      <c r="A340" s="229"/>
      <c r="B340" s="53" t="s">
        <v>41</v>
      </c>
      <c r="C340" s="34"/>
      <c r="D340" s="34"/>
      <c r="E340" s="25"/>
    </row>
    <row r="341" spans="1:5" x14ac:dyDescent="0.35">
      <c r="A341" s="229"/>
      <c r="B341" s="22" t="s">
        <v>93</v>
      </c>
      <c r="C341" s="52">
        <f>+'Meterading 2025'!B9</f>
        <v>77475</v>
      </c>
      <c r="D341" s="24"/>
      <c r="E341" s="25"/>
    </row>
    <row r="342" spans="1:5" ht="15" x14ac:dyDescent="0.4">
      <c r="A342" s="229"/>
      <c r="B342" s="22" t="s">
        <v>19</v>
      </c>
      <c r="C342" s="26">
        <f>+'Meterading 2025'!C9</f>
        <v>78332</v>
      </c>
      <c r="D342" s="27" t="s">
        <v>20</v>
      </c>
      <c r="E342" s="25"/>
    </row>
    <row r="343" spans="1:5" ht="15" thickBot="1" x14ac:dyDescent="0.4">
      <c r="A343" s="230"/>
      <c r="B343" s="22" t="s">
        <v>21</v>
      </c>
      <c r="C343" s="67">
        <f>+C342-C341</f>
        <v>857</v>
      </c>
      <c r="D343" s="27"/>
      <c r="E343" s="25"/>
    </row>
    <row r="344" spans="1:5" ht="15" thickTop="1" x14ac:dyDescent="0.35">
      <c r="A344" s="18"/>
      <c r="B344" s="19" t="s">
        <v>42</v>
      </c>
      <c r="C344" s="20"/>
      <c r="D344" s="20"/>
      <c r="E344" s="21"/>
    </row>
    <row r="345" spans="1:5" x14ac:dyDescent="0.35">
      <c r="A345" s="28"/>
      <c r="B345" s="22" t="s">
        <v>92</v>
      </c>
      <c r="C345" s="23">
        <f>+'Meterading 2025'!F9</f>
        <v>23344</v>
      </c>
      <c r="D345" s="24"/>
      <c r="E345" s="25"/>
    </row>
    <row r="346" spans="1:5" ht="15" x14ac:dyDescent="0.4">
      <c r="A346" s="28"/>
      <c r="B346" s="22" t="s">
        <v>19</v>
      </c>
      <c r="C346" s="26">
        <f>+'Meterading 2025'!G9</f>
        <v>24132</v>
      </c>
      <c r="D346" s="27" t="s">
        <v>20</v>
      </c>
      <c r="E346" s="25"/>
    </row>
    <row r="347" spans="1:5" x14ac:dyDescent="0.35">
      <c r="A347" s="28"/>
      <c r="B347" s="22" t="s">
        <v>21</v>
      </c>
      <c r="C347" s="67">
        <f>+C346-C345</f>
        <v>788</v>
      </c>
      <c r="D347" s="27"/>
      <c r="E347" s="25"/>
    </row>
    <row r="348" spans="1:5" ht="15" x14ac:dyDescent="0.4">
      <c r="A348" s="28"/>
      <c r="B348" s="22" t="s">
        <v>22</v>
      </c>
      <c r="C348" s="26">
        <v>200</v>
      </c>
      <c r="D348" s="27" t="s">
        <v>20</v>
      </c>
      <c r="E348" s="25"/>
    </row>
    <row r="349" spans="1:5" x14ac:dyDescent="0.35">
      <c r="A349" s="28"/>
      <c r="B349" s="22" t="s">
        <v>21</v>
      </c>
      <c r="C349" s="67">
        <f>+C347-C348</f>
        <v>588</v>
      </c>
      <c r="D349" s="27"/>
      <c r="E349" s="25"/>
    </row>
    <row r="350" spans="1:5" ht="15" thickBot="1" x14ac:dyDescent="0.4">
      <c r="A350" s="55"/>
      <c r="B350" s="56"/>
      <c r="C350" s="57"/>
      <c r="D350" s="58"/>
      <c r="E350" s="59"/>
    </row>
    <row r="351" spans="1:5" ht="15.5" thickTop="1" thickBot="1" x14ac:dyDescent="0.4">
      <c r="A351" s="29">
        <v>2</v>
      </c>
      <c r="B351" s="30" t="s">
        <v>23</v>
      </c>
      <c r="C351" s="31" t="s">
        <v>24</v>
      </c>
      <c r="D351" s="32">
        <v>150</v>
      </c>
      <c r="E351" s="54">
        <f>+D351*C343</f>
        <v>128550</v>
      </c>
    </row>
    <row r="352" spans="1:5" ht="18" thickTop="1" thickBot="1" x14ac:dyDescent="0.45">
      <c r="A352" s="29">
        <v>3</v>
      </c>
      <c r="B352" s="30" t="s">
        <v>43</v>
      </c>
      <c r="C352" s="31" t="s">
        <v>24</v>
      </c>
      <c r="D352" s="32">
        <v>1300</v>
      </c>
      <c r="E352" s="38">
        <f>+D352*C349</f>
        <v>764400</v>
      </c>
    </row>
    <row r="353" spans="1:7" ht="15.5" thickTop="1" thickBot="1" x14ac:dyDescent="0.4">
      <c r="A353" s="34"/>
      <c r="B353" s="34"/>
      <c r="C353" s="34"/>
      <c r="D353" s="86" t="s">
        <v>25</v>
      </c>
      <c r="E353" s="54">
        <f>+E352+E351+E338</f>
        <v>3392950</v>
      </c>
    </row>
    <row r="354" spans="1:7" ht="18" thickTop="1" thickBot="1" x14ac:dyDescent="0.45">
      <c r="A354" s="231" t="s">
        <v>26</v>
      </c>
      <c r="B354" s="232"/>
      <c r="C354" s="34"/>
      <c r="D354" s="86" t="s">
        <v>27</v>
      </c>
      <c r="E354" s="84">
        <v>0</v>
      </c>
    </row>
    <row r="355" spans="1:7" ht="18" thickTop="1" thickBot="1" x14ac:dyDescent="0.45">
      <c r="A355" s="233" t="s">
        <v>45</v>
      </c>
      <c r="B355" s="234"/>
      <c r="C355" s="41"/>
      <c r="D355" s="86" t="s">
        <v>29</v>
      </c>
      <c r="E355" s="85">
        <f>+E353</f>
        <v>3392950</v>
      </c>
    </row>
    <row r="356" spans="1:7" ht="17.5" thickTop="1" x14ac:dyDescent="0.4">
      <c r="A356" s="235" t="s">
        <v>46</v>
      </c>
      <c r="B356" s="236"/>
      <c r="C356" s="41"/>
      <c r="D356" s="35"/>
      <c r="E356" s="87"/>
    </row>
    <row r="357" spans="1:7" ht="17" x14ac:dyDescent="0.4">
      <c r="A357" s="205" t="s">
        <v>80</v>
      </c>
      <c r="B357" s="206"/>
      <c r="C357" s="41"/>
      <c r="D357" s="35"/>
      <c r="E357" s="87"/>
    </row>
    <row r="358" spans="1:7" ht="17" x14ac:dyDescent="0.4">
      <c r="A358" s="205" t="s">
        <v>81</v>
      </c>
      <c r="B358" s="206"/>
      <c r="C358" s="41"/>
      <c r="D358" s="35"/>
      <c r="E358" s="87"/>
    </row>
    <row r="359" spans="1:7" x14ac:dyDescent="0.35">
      <c r="A359" s="207" t="s">
        <v>28</v>
      </c>
      <c r="B359" s="208"/>
      <c r="C359" s="3"/>
      <c r="D359" s="3"/>
      <c r="E359" s="15"/>
    </row>
    <row r="360" spans="1:7" ht="15" thickBot="1" x14ac:dyDescent="0.4">
      <c r="A360" s="209" t="s">
        <v>30</v>
      </c>
      <c r="B360" s="210"/>
      <c r="C360" s="3"/>
      <c r="D360" s="3"/>
      <c r="E360" s="15"/>
    </row>
    <row r="361" spans="1:7" ht="15" thickTop="1" x14ac:dyDescent="0.35">
      <c r="A361" s="48"/>
      <c r="B361" s="49"/>
      <c r="C361" s="3"/>
      <c r="D361" s="3"/>
      <c r="E361" s="47"/>
      <c r="G361" t="s">
        <v>119</v>
      </c>
    </row>
    <row r="362" spans="1:7" x14ac:dyDescent="0.35">
      <c r="A362" s="211" t="s">
        <v>33</v>
      </c>
      <c r="B362" s="211"/>
      <c r="C362" s="211" t="s">
        <v>1</v>
      </c>
      <c r="D362" s="211"/>
      <c r="E362" s="211"/>
    </row>
    <row r="366" spans="1:7" x14ac:dyDescent="0.35">
      <c r="A366" s="212" t="s">
        <v>34</v>
      </c>
      <c r="B366" s="212"/>
      <c r="C366" s="247" t="s">
        <v>106</v>
      </c>
      <c r="D366" s="247"/>
      <c r="E366" s="247"/>
    </row>
    <row r="367" spans="1:7" x14ac:dyDescent="0.35">
      <c r="D367" s="60" t="s">
        <v>36</v>
      </c>
      <c r="E367" s="51"/>
    </row>
    <row r="368" spans="1:7" ht="19.5" customHeight="1" thickBot="1" x14ac:dyDescent="0.4"/>
    <row r="369" spans="1:10" ht="15.5" thickTop="1" thickBot="1" x14ac:dyDescent="0.4">
      <c r="A369" s="215" t="s">
        <v>1</v>
      </c>
      <c r="B369" s="216"/>
      <c r="C369" s="3"/>
      <c r="D369" s="113" t="s">
        <v>0</v>
      </c>
      <c r="E369" s="114" t="s">
        <v>120</v>
      </c>
    </row>
    <row r="370" spans="1:10" ht="15.5" thickTop="1" thickBot="1" x14ac:dyDescent="0.4">
      <c r="A370" s="217"/>
      <c r="B370" s="218"/>
      <c r="C370" s="3"/>
      <c r="D370" s="115" t="s">
        <v>2</v>
      </c>
      <c r="E370" s="114">
        <v>45755</v>
      </c>
    </row>
    <row r="371" spans="1:10" ht="15.5" thickTop="1" thickBot="1" x14ac:dyDescent="0.4">
      <c r="A371" s="237" t="s">
        <v>104</v>
      </c>
      <c r="B371" s="238"/>
      <c r="C371" s="3"/>
      <c r="D371" s="221" t="s">
        <v>4</v>
      </c>
      <c r="E371" s="222"/>
    </row>
    <row r="372" spans="1:10" ht="15.5" thickTop="1" thickBot="1" x14ac:dyDescent="0.4">
      <c r="A372" s="237" t="s">
        <v>77</v>
      </c>
      <c r="B372" s="238"/>
      <c r="C372" s="3"/>
      <c r="D372" s="239" t="s">
        <v>37</v>
      </c>
      <c r="E372" s="240"/>
    </row>
    <row r="373" spans="1:10" ht="15.5" thickTop="1" thickBot="1" x14ac:dyDescent="0.4">
      <c r="A373" s="237" t="s">
        <v>116</v>
      </c>
      <c r="B373" s="238"/>
      <c r="C373" s="3"/>
      <c r="D373" s="241" t="s">
        <v>38</v>
      </c>
      <c r="E373" s="242"/>
    </row>
    <row r="374" spans="1:10" ht="15.5" thickTop="1" thickBot="1" x14ac:dyDescent="0.4">
      <c r="A374" s="243" t="s">
        <v>11</v>
      </c>
      <c r="B374" s="244"/>
      <c r="D374" s="245" t="s">
        <v>39</v>
      </c>
      <c r="E374" s="246"/>
      <c r="J374" s="50"/>
    </row>
    <row r="375" spans="1:10" ht="15.5" thickTop="1" thickBot="1" x14ac:dyDescent="0.4">
      <c r="A375" s="219" t="s">
        <v>79</v>
      </c>
      <c r="B375" s="220"/>
      <c r="C375" s="3"/>
      <c r="D375" s="221" t="s">
        <v>40</v>
      </c>
      <c r="E375" s="222"/>
    </row>
    <row r="376" spans="1:10" ht="30" thickTop="1" x14ac:dyDescent="0.55000000000000004">
      <c r="A376" s="223" t="s">
        <v>87</v>
      </c>
      <c r="B376" s="223"/>
      <c r="C376" s="223"/>
      <c r="D376" s="223"/>
      <c r="E376" s="223"/>
    </row>
    <row r="377" spans="1:10" ht="15" thickBot="1" x14ac:dyDescent="0.4">
      <c r="A377" s="224" t="s">
        <v>124</v>
      </c>
      <c r="B377" s="224"/>
      <c r="C377" s="3"/>
      <c r="D377" s="3"/>
      <c r="E377" s="15"/>
    </row>
    <row r="378" spans="1:10" ht="15.5" thickTop="1" thickBot="1" x14ac:dyDescent="0.4">
      <c r="A378" s="16" t="s">
        <v>14</v>
      </c>
      <c r="B378" s="225" t="s">
        <v>15</v>
      </c>
      <c r="C378" s="226"/>
      <c r="D378" s="227"/>
      <c r="E378" s="17" t="s">
        <v>16</v>
      </c>
    </row>
    <row r="379" spans="1:10" ht="15" thickTop="1" x14ac:dyDescent="0.35">
      <c r="A379" s="228">
        <v>1</v>
      </c>
      <c r="B379" s="19" t="s">
        <v>47</v>
      </c>
      <c r="C379" s="20"/>
      <c r="D379" s="20"/>
      <c r="E379" s="21">
        <v>2500000</v>
      </c>
    </row>
    <row r="380" spans="1:10" x14ac:dyDescent="0.35">
      <c r="A380" s="229"/>
      <c r="B380" s="53" t="s">
        <v>48</v>
      </c>
      <c r="C380" s="34"/>
      <c r="D380" s="34"/>
      <c r="E380" s="25"/>
    </row>
    <row r="381" spans="1:10" x14ac:dyDescent="0.35">
      <c r="A381" s="229"/>
      <c r="B381" s="53" t="s">
        <v>41</v>
      </c>
      <c r="C381" s="34"/>
      <c r="D381" s="34"/>
      <c r="E381" s="25"/>
    </row>
    <row r="382" spans="1:10" x14ac:dyDescent="0.35">
      <c r="A382" s="229"/>
      <c r="B382" s="22" t="s">
        <v>93</v>
      </c>
      <c r="C382" s="52">
        <f>+'Meterading 2025'!B8</f>
        <v>75461</v>
      </c>
      <c r="D382" s="24"/>
      <c r="E382" s="25"/>
    </row>
    <row r="383" spans="1:10" ht="15" x14ac:dyDescent="0.4">
      <c r="A383" s="229"/>
      <c r="B383" s="22" t="s">
        <v>19</v>
      </c>
      <c r="C383" s="26">
        <f>+'Meterading 2025'!C8</f>
        <v>77475</v>
      </c>
      <c r="D383" s="27" t="s">
        <v>20</v>
      </c>
      <c r="E383" s="25"/>
    </row>
    <row r="384" spans="1:10" ht="15" thickBot="1" x14ac:dyDescent="0.4">
      <c r="A384" s="230"/>
      <c r="B384" s="22" t="s">
        <v>21</v>
      </c>
      <c r="C384" s="67">
        <f>+C383-C382</f>
        <v>2014</v>
      </c>
      <c r="D384" s="27"/>
      <c r="E384" s="25"/>
    </row>
    <row r="385" spans="1:5" ht="15" thickTop="1" x14ac:dyDescent="0.35">
      <c r="A385" s="18"/>
      <c r="B385" s="19" t="s">
        <v>42</v>
      </c>
      <c r="C385" s="20"/>
      <c r="D385" s="20"/>
      <c r="E385" s="21"/>
    </row>
    <row r="386" spans="1:5" x14ac:dyDescent="0.35">
      <c r="A386" s="28"/>
      <c r="B386" s="22" t="s">
        <v>92</v>
      </c>
      <c r="C386" s="23">
        <f>+'Meterading 2025'!F8</f>
        <v>22564</v>
      </c>
      <c r="D386" s="24"/>
      <c r="E386" s="25"/>
    </row>
    <row r="387" spans="1:5" ht="15" x14ac:dyDescent="0.4">
      <c r="A387" s="28"/>
      <c r="B387" s="22" t="s">
        <v>19</v>
      </c>
      <c r="C387" s="26">
        <f>+'Meterading 2025'!G8</f>
        <v>23344</v>
      </c>
      <c r="D387" s="27" t="s">
        <v>20</v>
      </c>
      <c r="E387" s="25"/>
    </row>
    <row r="388" spans="1:5" x14ac:dyDescent="0.35">
      <c r="A388" s="28"/>
      <c r="B388" s="22" t="s">
        <v>21</v>
      </c>
      <c r="C388" s="67">
        <f>+C387-C386</f>
        <v>780</v>
      </c>
      <c r="D388" s="27"/>
      <c r="E388" s="25"/>
    </row>
    <row r="389" spans="1:5" ht="15" x14ac:dyDescent="0.4">
      <c r="A389" s="28"/>
      <c r="B389" s="22" t="s">
        <v>22</v>
      </c>
      <c r="C389" s="26">
        <v>200</v>
      </c>
      <c r="D389" s="27" t="s">
        <v>20</v>
      </c>
      <c r="E389" s="25"/>
    </row>
    <row r="390" spans="1:5" x14ac:dyDescent="0.35">
      <c r="A390" s="28"/>
      <c r="B390" s="22" t="s">
        <v>21</v>
      </c>
      <c r="C390" s="67">
        <f>+C388-C389</f>
        <v>580</v>
      </c>
      <c r="D390" s="27"/>
      <c r="E390" s="25"/>
    </row>
    <row r="391" spans="1:5" ht="15" thickBot="1" x14ac:dyDescent="0.4">
      <c r="A391" s="55"/>
      <c r="B391" s="56"/>
      <c r="C391" s="57"/>
      <c r="D391" s="58"/>
      <c r="E391" s="59"/>
    </row>
    <row r="392" spans="1:5" ht="15.5" thickTop="1" thickBot="1" x14ac:dyDescent="0.4">
      <c r="A392" s="29">
        <v>2</v>
      </c>
      <c r="B392" s="30" t="s">
        <v>23</v>
      </c>
      <c r="C392" s="31" t="s">
        <v>24</v>
      </c>
      <c r="D392" s="32">
        <v>150</v>
      </c>
      <c r="E392" s="54">
        <f>+D392*C384</f>
        <v>302100</v>
      </c>
    </row>
    <row r="393" spans="1:5" ht="18" thickTop="1" thickBot="1" x14ac:dyDescent="0.45">
      <c r="A393" s="29">
        <v>3</v>
      </c>
      <c r="B393" s="30" t="s">
        <v>43</v>
      </c>
      <c r="C393" s="31" t="s">
        <v>24</v>
      </c>
      <c r="D393" s="32">
        <v>1300</v>
      </c>
      <c r="E393" s="38">
        <f>+D393*C390</f>
        <v>754000</v>
      </c>
    </row>
    <row r="394" spans="1:5" ht="15.5" thickTop="1" thickBot="1" x14ac:dyDescent="0.4">
      <c r="A394" s="34"/>
      <c r="B394" s="34"/>
      <c r="C394" s="34"/>
      <c r="D394" s="86" t="s">
        <v>25</v>
      </c>
      <c r="E394" s="54">
        <f>+E379+E392+E393</f>
        <v>3556100</v>
      </c>
    </row>
    <row r="395" spans="1:5" ht="18" thickTop="1" thickBot="1" x14ac:dyDescent="0.45">
      <c r="A395" s="231" t="s">
        <v>26</v>
      </c>
      <c r="B395" s="232"/>
      <c r="C395" s="34"/>
      <c r="D395" s="86" t="s">
        <v>27</v>
      </c>
      <c r="E395" s="84">
        <v>0</v>
      </c>
    </row>
    <row r="396" spans="1:5" ht="18" thickTop="1" thickBot="1" x14ac:dyDescent="0.45">
      <c r="A396" s="233" t="s">
        <v>45</v>
      </c>
      <c r="B396" s="234"/>
      <c r="C396" s="41"/>
      <c r="D396" s="86" t="s">
        <v>29</v>
      </c>
      <c r="E396" s="85">
        <f>+E394</f>
        <v>3556100</v>
      </c>
    </row>
    <row r="397" spans="1:5" ht="17.5" thickTop="1" x14ac:dyDescent="0.4">
      <c r="A397" s="235" t="s">
        <v>46</v>
      </c>
      <c r="B397" s="236"/>
      <c r="C397" s="41"/>
      <c r="D397" s="35"/>
      <c r="E397" s="87"/>
    </row>
    <row r="398" spans="1:5" ht="17" x14ac:dyDescent="0.4">
      <c r="A398" s="205" t="s">
        <v>80</v>
      </c>
      <c r="B398" s="206"/>
      <c r="C398" s="41"/>
      <c r="D398" s="35"/>
      <c r="E398" s="87"/>
    </row>
    <row r="399" spans="1:5" ht="17" x14ac:dyDescent="0.4">
      <c r="A399" s="205" t="s">
        <v>81</v>
      </c>
      <c r="B399" s="206"/>
      <c r="C399" s="41"/>
      <c r="D399" s="35"/>
      <c r="E399" s="87"/>
    </row>
    <row r="400" spans="1:5" x14ac:dyDescent="0.35">
      <c r="A400" s="207" t="s">
        <v>28</v>
      </c>
      <c r="B400" s="208"/>
      <c r="C400" s="3"/>
      <c r="D400" s="3"/>
      <c r="E400" s="15"/>
    </row>
    <row r="401" spans="1:10" ht="15" thickBot="1" x14ac:dyDescent="0.4">
      <c r="A401" s="209" t="s">
        <v>30</v>
      </c>
      <c r="B401" s="210"/>
      <c r="C401" s="3"/>
      <c r="D401" s="3"/>
      <c r="E401" s="15"/>
    </row>
    <row r="402" spans="1:10" ht="15" thickTop="1" x14ac:dyDescent="0.35">
      <c r="A402" s="48"/>
      <c r="B402" s="49"/>
      <c r="C402" s="3"/>
      <c r="D402" s="3"/>
      <c r="E402" s="47"/>
      <c r="G402" t="s">
        <v>119</v>
      </c>
    </row>
    <row r="403" spans="1:10" x14ac:dyDescent="0.35">
      <c r="A403" s="211" t="s">
        <v>33</v>
      </c>
      <c r="B403" s="211"/>
      <c r="C403" s="211" t="s">
        <v>1</v>
      </c>
      <c r="D403" s="211"/>
      <c r="E403" s="211"/>
    </row>
    <row r="407" spans="1:10" x14ac:dyDescent="0.35">
      <c r="A407" s="212" t="s">
        <v>34</v>
      </c>
      <c r="B407" s="212"/>
      <c r="C407" s="247" t="s">
        <v>106</v>
      </c>
      <c r="D407" s="247"/>
      <c r="E407" s="247"/>
    </row>
    <row r="408" spans="1:10" x14ac:dyDescent="0.35">
      <c r="D408" s="60" t="s">
        <v>36</v>
      </c>
      <c r="E408" s="51"/>
    </row>
    <row r="409" spans="1:10" ht="15" thickBot="1" x14ac:dyDescent="0.4"/>
    <row r="410" spans="1:10" ht="15.5" thickTop="1" thickBot="1" x14ac:dyDescent="0.4">
      <c r="A410" s="215" t="s">
        <v>1</v>
      </c>
      <c r="B410" s="216"/>
      <c r="C410" s="3"/>
      <c r="D410" s="113" t="s">
        <v>0</v>
      </c>
      <c r="E410" s="114" t="s">
        <v>113</v>
      </c>
    </row>
    <row r="411" spans="1:10" ht="15.5" thickTop="1" thickBot="1" x14ac:dyDescent="0.4">
      <c r="A411" s="217"/>
      <c r="B411" s="218"/>
      <c r="C411" s="3"/>
      <c r="D411" s="115" t="s">
        <v>2</v>
      </c>
      <c r="E411" s="114">
        <v>45719</v>
      </c>
    </row>
    <row r="412" spans="1:10" ht="15.5" thickTop="1" thickBot="1" x14ac:dyDescent="0.4">
      <c r="A412" s="237" t="s">
        <v>104</v>
      </c>
      <c r="B412" s="238"/>
      <c r="C412" s="3"/>
      <c r="D412" s="221" t="s">
        <v>4</v>
      </c>
      <c r="E412" s="222"/>
    </row>
    <row r="413" spans="1:10" ht="15.5" thickTop="1" thickBot="1" x14ac:dyDescent="0.4">
      <c r="A413" s="237" t="s">
        <v>77</v>
      </c>
      <c r="B413" s="238"/>
      <c r="C413" s="3"/>
      <c r="D413" s="239" t="s">
        <v>37</v>
      </c>
      <c r="E413" s="240"/>
    </row>
    <row r="414" spans="1:10" ht="15.5" thickTop="1" thickBot="1" x14ac:dyDescent="0.4">
      <c r="A414" s="237" t="s">
        <v>116</v>
      </c>
      <c r="B414" s="238"/>
      <c r="C414" s="3"/>
      <c r="D414" s="241" t="s">
        <v>38</v>
      </c>
      <c r="E414" s="242"/>
    </row>
    <row r="415" spans="1:10" ht="15.5" thickTop="1" thickBot="1" x14ac:dyDescent="0.4">
      <c r="A415" s="243" t="s">
        <v>11</v>
      </c>
      <c r="B415" s="244"/>
      <c r="D415" s="245" t="s">
        <v>39</v>
      </c>
      <c r="E415" s="246"/>
      <c r="J415" s="50"/>
    </row>
    <row r="416" spans="1:10" ht="15.5" thickTop="1" thickBot="1" x14ac:dyDescent="0.4">
      <c r="A416" s="219" t="s">
        <v>79</v>
      </c>
      <c r="B416" s="220"/>
      <c r="C416" s="3"/>
      <c r="D416" s="221" t="s">
        <v>40</v>
      </c>
      <c r="E416" s="222"/>
    </row>
    <row r="417" spans="1:5" ht="30" thickTop="1" x14ac:dyDescent="0.55000000000000004">
      <c r="A417" s="223" t="s">
        <v>87</v>
      </c>
      <c r="B417" s="223"/>
      <c r="C417" s="223"/>
      <c r="D417" s="223"/>
      <c r="E417" s="223"/>
    </row>
    <row r="418" spans="1:5" ht="15" thickBot="1" x14ac:dyDescent="0.4">
      <c r="A418" s="224" t="s">
        <v>112</v>
      </c>
      <c r="B418" s="224"/>
      <c r="C418" s="3"/>
      <c r="D418" s="3"/>
      <c r="E418" s="15"/>
    </row>
    <row r="419" spans="1:5" ht="15.5" thickTop="1" thickBot="1" x14ac:dyDescent="0.4">
      <c r="A419" s="16" t="s">
        <v>14</v>
      </c>
      <c r="B419" s="225" t="s">
        <v>15</v>
      </c>
      <c r="C419" s="226"/>
      <c r="D419" s="227"/>
      <c r="E419" s="17" t="s">
        <v>16</v>
      </c>
    </row>
    <row r="420" spans="1:5" ht="15" thickTop="1" x14ac:dyDescent="0.35">
      <c r="A420" s="228">
        <v>1</v>
      </c>
      <c r="B420" s="19" t="s">
        <v>47</v>
      </c>
      <c r="C420" s="20"/>
      <c r="D420" s="20"/>
      <c r="E420" s="21">
        <v>2500000</v>
      </c>
    </row>
    <row r="421" spans="1:5" x14ac:dyDescent="0.35">
      <c r="A421" s="229"/>
      <c r="B421" s="53" t="s">
        <v>48</v>
      </c>
      <c r="C421" s="34"/>
      <c r="D421" s="34"/>
      <c r="E421" s="25"/>
    </row>
    <row r="422" spans="1:5" x14ac:dyDescent="0.35">
      <c r="A422" s="229"/>
      <c r="B422" s="53" t="s">
        <v>41</v>
      </c>
      <c r="C422" s="34"/>
      <c r="D422" s="34"/>
      <c r="E422" s="25"/>
    </row>
    <row r="423" spans="1:5" x14ac:dyDescent="0.35">
      <c r="A423" s="229"/>
      <c r="B423" s="22" t="s">
        <v>93</v>
      </c>
      <c r="C423" s="52">
        <f>+'Meterading 2025'!B7</f>
        <v>73632</v>
      </c>
      <c r="D423" s="24"/>
      <c r="E423" s="25"/>
    </row>
    <row r="424" spans="1:5" ht="15" x14ac:dyDescent="0.4">
      <c r="A424" s="229"/>
      <c r="B424" s="22" t="s">
        <v>19</v>
      </c>
      <c r="C424" s="26">
        <f>+'Meterading 2025'!C7</f>
        <v>75461</v>
      </c>
      <c r="D424" s="27" t="s">
        <v>20</v>
      </c>
      <c r="E424" s="25"/>
    </row>
    <row r="425" spans="1:5" ht="15" thickBot="1" x14ac:dyDescent="0.4">
      <c r="A425" s="230"/>
      <c r="B425" s="22" t="s">
        <v>21</v>
      </c>
      <c r="C425" s="67">
        <f>+C424-C423</f>
        <v>1829</v>
      </c>
      <c r="D425" s="27"/>
      <c r="E425" s="25"/>
    </row>
    <row r="426" spans="1:5" ht="15" thickTop="1" x14ac:dyDescent="0.35">
      <c r="A426" s="18"/>
      <c r="B426" s="19" t="s">
        <v>42</v>
      </c>
      <c r="C426" s="20"/>
      <c r="D426" s="20"/>
      <c r="E426" s="21"/>
    </row>
    <row r="427" spans="1:5" x14ac:dyDescent="0.35">
      <c r="A427" s="28"/>
      <c r="B427" s="22" t="s">
        <v>92</v>
      </c>
      <c r="C427" s="23">
        <f>+'Meterading 2025'!F7</f>
        <v>21884</v>
      </c>
      <c r="D427" s="24"/>
      <c r="E427" s="25"/>
    </row>
    <row r="428" spans="1:5" ht="15" x14ac:dyDescent="0.4">
      <c r="A428" s="28"/>
      <c r="B428" s="22" t="s">
        <v>19</v>
      </c>
      <c r="C428" s="26">
        <f>+'Meterading 2025'!G7</f>
        <v>22564</v>
      </c>
      <c r="D428" s="27" t="s">
        <v>20</v>
      </c>
      <c r="E428" s="25"/>
    </row>
    <row r="429" spans="1:5" x14ac:dyDescent="0.35">
      <c r="A429" s="28"/>
      <c r="B429" s="22" t="s">
        <v>21</v>
      </c>
      <c r="C429" s="67">
        <f>+C428-C427</f>
        <v>680</v>
      </c>
      <c r="D429" s="27"/>
      <c r="E429" s="25"/>
    </row>
    <row r="430" spans="1:5" ht="15" x14ac:dyDescent="0.4">
      <c r="A430" s="28"/>
      <c r="B430" s="22" t="s">
        <v>22</v>
      </c>
      <c r="C430" s="26">
        <v>200</v>
      </c>
      <c r="D430" s="27" t="s">
        <v>20</v>
      </c>
      <c r="E430" s="25"/>
    </row>
    <row r="431" spans="1:5" x14ac:dyDescent="0.35">
      <c r="A431" s="28"/>
      <c r="B431" s="22" t="s">
        <v>21</v>
      </c>
      <c r="C431" s="67">
        <f>+C429-C430</f>
        <v>480</v>
      </c>
      <c r="D431" s="27"/>
      <c r="E431" s="25"/>
    </row>
    <row r="432" spans="1:5" ht="15" thickBot="1" x14ac:dyDescent="0.4">
      <c r="A432" s="55"/>
      <c r="B432" s="56"/>
      <c r="C432" s="57"/>
      <c r="D432" s="58"/>
      <c r="E432" s="59"/>
    </row>
    <row r="433" spans="1:5" ht="15.5" thickTop="1" thickBot="1" x14ac:dyDescent="0.4">
      <c r="A433" s="29">
        <v>2</v>
      </c>
      <c r="B433" s="30" t="s">
        <v>23</v>
      </c>
      <c r="C433" s="31" t="s">
        <v>24</v>
      </c>
      <c r="D433" s="32">
        <v>150</v>
      </c>
      <c r="E433" s="54">
        <f>+C425*D433</f>
        <v>274350</v>
      </c>
    </row>
    <row r="434" spans="1:5" ht="18" thickTop="1" thickBot="1" x14ac:dyDescent="0.45">
      <c r="A434" s="29">
        <v>3</v>
      </c>
      <c r="B434" s="30" t="s">
        <v>43</v>
      </c>
      <c r="C434" s="31" t="s">
        <v>24</v>
      </c>
      <c r="D434" s="32">
        <v>1300</v>
      </c>
      <c r="E434" s="38">
        <f>+C431*D434</f>
        <v>624000</v>
      </c>
    </row>
    <row r="435" spans="1:5" ht="15.5" thickTop="1" thickBot="1" x14ac:dyDescent="0.4">
      <c r="A435" s="34"/>
      <c r="B435" s="34"/>
      <c r="C435" s="34"/>
      <c r="D435" s="86" t="s">
        <v>25</v>
      </c>
      <c r="E435" s="54">
        <f>+E434+E433+E420</f>
        <v>3398350</v>
      </c>
    </row>
    <row r="436" spans="1:5" ht="18" thickTop="1" thickBot="1" x14ac:dyDescent="0.45">
      <c r="A436" s="231" t="s">
        <v>26</v>
      </c>
      <c r="B436" s="232"/>
      <c r="C436" s="34"/>
      <c r="D436" s="86" t="s">
        <v>27</v>
      </c>
      <c r="E436" s="84"/>
    </row>
    <row r="437" spans="1:5" ht="18" thickTop="1" thickBot="1" x14ac:dyDescent="0.45">
      <c r="A437" s="233" t="s">
        <v>45</v>
      </c>
      <c r="B437" s="234"/>
      <c r="C437" s="41"/>
      <c r="D437" s="86" t="s">
        <v>29</v>
      </c>
      <c r="E437" s="85">
        <f>+E435</f>
        <v>3398350</v>
      </c>
    </row>
    <row r="438" spans="1:5" ht="17.5" thickTop="1" x14ac:dyDescent="0.4">
      <c r="A438" s="235" t="s">
        <v>46</v>
      </c>
      <c r="B438" s="236"/>
      <c r="C438" s="41"/>
      <c r="D438" s="35"/>
      <c r="E438" s="87"/>
    </row>
    <row r="439" spans="1:5" ht="17" x14ac:dyDescent="0.4">
      <c r="A439" s="205" t="s">
        <v>80</v>
      </c>
      <c r="B439" s="206"/>
      <c r="C439" s="41"/>
      <c r="D439" s="35"/>
      <c r="E439" s="87"/>
    </row>
    <row r="440" spans="1:5" ht="17" x14ac:dyDescent="0.4">
      <c r="A440" s="205" t="s">
        <v>81</v>
      </c>
      <c r="B440" s="206"/>
      <c r="C440" s="41"/>
      <c r="D440" s="35"/>
      <c r="E440" s="87"/>
    </row>
    <row r="441" spans="1:5" x14ac:dyDescent="0.35">
      <c r="A441" s="207" t="s">
        <v>28</v>
      </c>
      <c r="B441" s="208"/>
      <c r="C441" s="3"/>
      <c r="D441" s="3"/>
      <c r="E441" s="15"/>
    </row>
    <row r="442" spans="1:5" ht="15" thickBot="1" x14ac:dyDescent="0.4">
      <c r="A442" s="209" t="s">
        <v>30</v>
      </c>
      <c r="B442" s="210"/>
      <c r="C442" s="3"/>
      <c r="D442" s="3"/>
      <c r="E442" s="15"/>
    </row>
    <row r="443" spans="1:5" ht="15" thickTop="1" x14ac:dyDescent="0.35">
      <c r="A443" s="48"/>
      <c r="B443" s="49"/>
      <c r="C443" s="3"/>
      <c r="D443" s="3"/>
      <c r="E443" s="47"/>
    </row>
    <row r="444" spans="1:5" x14ac:dyDescent="0.35">
      <c r="A444" s="211" t="s">
        <v>33</v>
      </c>
      <c r="B444" s="211"/>
      <c r="C444" s="211" t="s">
        <v>1</v>
      </c>
      <c r="D444" s="211"/>
      <c r="E444" s="211"/>
    </row>
    <row r="448" spans="1:5" x14ac:dyDescent="0.35">
      <c r="A448" s="212" t="s">
        <v>34</v>
      </c>
      <c r="B448" s="212"/>
      <c r="C448" s="247" t="s">
        <v>34</v>
      </c>
      <c r="D448" s="247"/>
      <c r="E448" s="247"/>
    </row>
    <row r="449" spans="1:10" x14ac:dyDescent="0.35">
      <c r="D449" s="60" t="s">
        <v>36</v>
      </c>
      <c r="E449" s="51"/>
    </row>
    <row r="450" spans="1:10" ht="15" thickBot="1" x14ac:dyDescent="0.4">
      <c r="D450" s="60"/>
      <c r="E450" s="51"/>
    </row>
    <row r="451" spans="1:10" ht="17" thickTop="1" thickBot="1" x14ac:dyDescent="0.5">
      <c r="A451" s="252"/>
      <c r="B451" s="253"/>
      <c r="C451" s="3"/>
      <c r="D451" s="88" t="s">
        <v>0</v>
      </c>
      <c r="E451" s="83" t="s">
        <v>107</v>
      </c>
    </row>
    <row r="452" spans="1:10" ht="24" customHeight="1" thickTop="1" thickBot="1" x14ac:dyDescent="0.6">
      <c r="A452" s="254" t="s">
        <v>1</v>
      </c>
      <c r="B452" s="255"/>
      <c r="C452" s="3"/>
      <c r="D452" s="82" t="s">
        <v>2</v>
      </c>
      <c r="E452" s="83">
        <v>45691</v>
      </c>
    </row>
    <row r="453" spans="1:10" ht="15.5" thickTop="1" thickBot="1" x14ac:dyDescent="0.4">
      <c r="A453" s="256" t="s">
        <v>104</v>
      </c>
      <c r="B453" s="257"/>
      <c r="C453" s="3"/>
      <c r="D453" s="258" t="s">
        <v>4</v>
      </c>
      <c r="E453" s="259"/>
    </row>
    <row r="454" spans="1:10" ht="15.5" thickTop="1" thickBot="1" x14ac:dyDescent="0.4">
      <c r="A454" s="256" t="s">
        <v>77</v>
      </c>
      <c r="B454" s="257"/>
      <c r="C454" s="3"/>
      <c r="D454" s="260" t="s">
        <v>37</v>
      </c>
      <c r="E454" s="261"/>
    </row>
    <row r="455" spans="1:10" ht="15.5" thickTop="1" thickBot="1" x14ac:dyDescent="0.4">
      <c r="A455" s="256" t="s">
        <v>78</v>
      </c>
      <c r="B455" s="257"/>
      <c r="C455" s="3"/>
      <c r="D455" s="264" t="s">
        <v>38</v>
      </c>
      <c r="E455" s="265"/>
    </row>
    <row r="456" spans="1:10" ht="15.5" thickTop="1" thickBot="1" x14ac:dyDescent="0.4">
      <c r="A456" s="248" t="s">
        <v>79</v>
      </c>
      <c r="B456" s="249"/>
      <c r="D456" s="250" t="s">
        <v>39</v>
      </c>
      <c r="E456" s="251"/>
      <c r="J456" s="50"/>
    </row>
    <row r="457" spans="1:10" ht="17" thickTop="1" thickBot="1" x14ac:dyDescent="0.5">
      <c r="A457" s="262"/>
      <c r="B457" s="263"/>
      <c r="C457" s="3"/>
      <c r="D457" s="258" t="s">
        <v>40</v>
      </c>
      <c r="E457" s="259"/>
    </row>
    <row r="458" spans="1:10" ht="30" thickTop="1" x14ac:dyDescent="0.55000000000000004">
      <c r="A458" s="223" t="s">
        <v>87</v>
      </c>
      <c r="B458" s="223"/>
      <c r="C458" s="223"/>
      <c r="D458" s="223"/>
      <c r="E458" s="223"/>
    </row>
    <row r="459" spans="1:10" ht="15" thickBot="1" x14ac:dyDescent="0.4">
      <c r="A459" s="224" t="s">
        <v>105</v>
      </c>
      <c r="B459" s="224"/>
      <c r="C459" s="3"/>
      <c r="D459" s="3"/>
      <c r="E459" s="15"/>
    </row>
    <row r="460" spans="1:10" ht="15.5" thickTop="1" thickBot="1" x14ac:dyDescent="0.4">
      <c r="A460" s="16" t="s">
        <v>14</v>
      </c>
      <c r="B460" s="225" t="s">
        <v>15</v>
      </c>
      <c r="C460" s="226"/>
      <c r="D460" s="227"/>
      <c r="E460" s="17" t="s">
        <v>16</v>
      </c>
    </row>
    <row r="461" spans="1:10" ht="15" thickTop="1" x14ac:dyDescent="0.35">
      <c r="A461" s="228">
        <v>1</v>
      </c>
      <c r="B461" s="19" t="s">
        <v>47</v>
      </c>
      <c r="C461" s="20"/>
      <c r="D461" s="20"/>
      <c r="E461" s="21">
        <v>2500000</v>
      </c>
    </row>
    <row r="462" spans="1:10" x14ac:dyDescent="0.35">
      <c r="A462" s="229"/>
      <c r="B462" s="53" t="s">
        <v>48</v>
      </c>
      <c r="C462" s="34"/>
      <c r="D462" s="34"/>
      <c r="E462" s="25"/>
    </row>
    <row r="463" spans="1:10" x14ac:dyDescent="0.35">
      <c r="A463" s="229"/>
      <c r="B463" s="53" t="s">
        <v>41</v>
      </c>
      <c r="C463" s="34"/>
      <c r="D463" s="34"/>
      <c r="E463" s="25"/>
    </row>
    <row r="464" spans="1:10" x14ac:dyDescent="0.35">
      <c r="A464" s="229"/>
      <c r="B464" s="22" t="s">
        <v>93</v>
      </c>
      <c r="C464" s="52">
        <v>70439</v>
      </c>
      <c r="D464" s="24"/>
      <c r="E464" s="25"/>
    </row>
    <row r="465" spans="1:5" ht="15" x14ac:dyDescent="0.4">
      <c r="A465" s="229"/>
      <c r="B465" s="22" t="s">
        <v>19</v>
      </c>
      <c r="C465" s="26">
        <v>73632</v>
      </c>
      <c r="D465" s="27" t="s">
        <v>20</v>
      </c>
      <c r="E465" s="25"/>
    </row>
    <row r="466" spans="1:5" ht="15" thickBot="1" x14ac:dyDescent="0.4">
      <c r="A466" s="230"/>
      <c r="B466" s="22" t="s">
        <v>21</v>
      </c>
      <c r="C466" s="67">
        <f>+C465-C464</f>
        <v>3193</v>
      </c>
      <c r="D466" s="27"/>
      <c r="E466" s="25"/>
    </row>
    <row r="467" spans="1:5" ht="15" thickTop="1" x14ac:dyDescent="0.35">
      <c r="A467" s="18"/>
      <c r="B467" s="19" t="s">
        <v>42</v>
      </c>
      <c r="C467" s="20"/>
      <c r="D467" s="20"/>
      <c r="E467" s="21"/>
    </row>
    <row r="468" spans="1:5" x14ac:dyDescent="0.35">
      <c r="A468" s="28"/>
      <c r="B468" s="22" t="s">
        <v>92</v>
      </c>
      <c r="C468" s="23">
        <v>20408</v>
      </c>
      <c r="D468" s="24"/>
      <c r="E468" s="25"/>
    </row>
    <row r="469" spans="1:5" ht="15" x14ac:dyDescent="0.4">
      <c r="A469" s="28"/>
      <c r="B469" s="22" t="s">
        <v>19</v>
      </c>
      <c r="C469" s="26">
        <v>21884</v>
      </c>
      <c r="D469" s="27" t="s">
        <v>20</v>
      </c>
      <c r="E469" s="25"/>
    </row>
    <row r="470" spans="1:5" x14ac:dyDescent="0.35">
      <c r="A470" s="28"/>
      <c r="B470" s="22" t="s">
        <v>21</v>
      </c>
      <c r="C470" s="67">
        <f>+C469-C468</f>
        <v>1476</v>
      </c>
      <c r="D470" s="27"/>
      <c r="E470" s="25"/>
    </row>
    <row r="471" spans="1:5" ht="15" x14ac:dyDescent="0.4">
      <c r="A471" s="28"/>
      <c r="B471" s="22" t="s">
        <v>22</v>
      </c>
      <c r="C471" s="26">
        <v>200</v>
      </c>
      <c r="D471" s="27" t="s">
        <v>20</v>
      </c>
      <c r="E471" s="25"/>
    </row>
    <row r="472" spans="1:5" x14ac:dyDescent="0.35">
      <c r="A472" s="28"/>
      <c r="B472" s="22" t="s">
        <v>21</v>
      </c>
      <c r="C472" s="67">
        <f>+C470-C471</f>
        <v>1276</v>
      </c>
      <c r="D472" s="27"/>
      <c r="E472" s="25"/>
    </row>
    <row r="473" spans="1:5" ht="15" thickBot="1" x14ac:dyDescent="0.4">
      <c r="A473" s="55"/>
      <c r="B473" s="56"/>
      <c r="C473" s="57"/>
      <c r="D473" s="58"/>
      <c r="E473" s="59"/>
    </row>
    <row r="474" spans="1:5" ht="15.5" thickTop="1" thickBot="1" x14ac:dyDescent="0.4">
      <c r="A474" s="29">
        <v>2</v>
      </c>
      <c r="B474" s="30" t="s">
        <v>23</v>
      </c>
      <c r="C474" s="31" t="s">
        <v>24</v>
      </c>
      <c r="D474" s="32">
        <v>150</v>
      </c>
      <c r="E474" s="54">
        <f>+C466*D474</f>
        <v>478950</v>
      </c>
    </row>
    <row r="475" spans="1:5" ht="18" thickTop="1" thickBot="1" x14ac:dyDescent="0.45">
      <c r="A475" s="29">
        <v>3</v>
      </c>
      <c r="B475" s="30" t="s">
        <v>43</v>
      </c>
      <c r="C475" s="31" t="s">
        <v>24</v>
      </c>
      <c r="D475" s="32">
        <v>1300</v>
      </c>
      <c r="E475" s="38">
        <f>+C472*D475</f>
        <v>1658800</v>
      </c>
    </row>
    <row r="476" spans="1:5" ht="15.5" thickTop="1" thickBot="1" x14ac:dyDescent="0.4">
      <c r="A476" s="34"/>
      <c r="B476" s="34"/>
      <c r="C476" s="34"/>
      <c r="D476" s="86" t="s">
        <v>25</v>
      </c>
      <c r="E476" s="54">
        <f>+E461+E474+E475</f>
        <v>4637750</v>
      </c>
    </row>
    <row r="477" spans="1:5" ht="18" thickTop="1" thickBot="1" x14ac:dyDescent="0.45">
      <c r="A477" s="231" t="s">
        <v>26</v>
      </c>
      <c r="B477" s="232"/>
      <c r="C477" s="34"/>
      <c r="D477" s="86" t="s">
        <v>27</v>
      </c>
      <c r="E477" s="84"/>
    </row>
    <row r="478" spans="1:5" ht="18" thickTop="1" thickBot="1" x14ac:dyDescent="0.45">
      <c r="A478" s="233" t="s">
        <v>45</v>
      </c>
      <c r="B478" s="234"/>
      <c r="C478" s="41"/>
      <c r="D478" s="86" t="s">
        <v>29</v>
      </c>
      <c r="E478" s="85">
        <f>+E476</f>
        <v>4637750</v>
      </c>
    </row>
    <row r="479" spans="1:5" ht="17.5" thickTop="1" x14ac:dyDescent="0.4">
      <c r="A479" s="235" t="s">
        <v>46</v>
      </c>
      <c r="B479" s="236"/>
      <c r="C479" s="41"/>
      <c r="D479" s="35"/>
      <c r="E479" s="87"/>
    </row>
    <row r="480" spans="1:5" ht="17" x14ac:dyDescent="0.4">
      <c r="A480" s="205" t="s">
        <v>80</v>
      </c>
      <c r="B480" s="206"/>
      <c r="C480" s="41"/>
      <c r="D480" s="35"/>
      <c r="E480" s="87"/>
    </row>
    <row r="481" spans="1:5" ht="17" x14ac:dyDescent="0.4">
      <c r="A481" s="205" t="s">
        <v>81</v>
      </c>
      <c r="B481" s="206"/>
      <c r="C481" s="41"/>
      <c r="D481" s="35"/>
      <c r="E481" s="87"/>
    </row>
    <row r="482" spans="1:5" x14ac:dyDescent="0.35">
      <c r="A482" s="207" t="s">
        <v>28</v>
      </c>
      <c r="B482" s="208"/>
      <c r="C482" s="3"/>
      <c r="D482" s="3"/>
      <c r="E482" s="15"/>
    </row>
    <row r="483" spans="1:5" ht="15" thickBot="1" x14ac:dyDescent="0.4">
      <c r="A483" s="209" t="s">
        <v>30</v>
      </c>
      <c r="B483" s="210"/>
      <c r="C483" s="3"/>
      <c r="D483" s="3"/>
      <c r="E483" s="15"/>
    </row>
    <row r="484" spans="1:5" ht="15" thickTop="1" x14ac:dyDescent="0.35">
      <c r="A484" s="48"/>
      <c r="B484" s="49"/>
      <c r="C484" s="3"/>
      <c r="D484" s="3"/>
      <c r="E484" s="47"/>
    </row>
    <row r="485" spans="1:5" x14ac:dyDescent="0.35">
      <c r="A485" s="211" t="s">
        <v>33</v>
      </c>
      <c r="B485" s="211"/>
      <c r="C485" s="211" t="s">
        <v>1</v>
      </c>
      <c r="D485" s="211"/>
      <c r="E485" s="211"/>
    </row>
    <row r="489" spans="1:5" x14ac:dyDescent="0.35">
      <c r="A489" s="212" t="s">
        <v>34</v>
      </c>
      <c r="B489" s="212"/>
      <c r="C489" s="247" t="s">
        <v>34</v>
      </c>
      <c r="D489" s="247"/>
      <c r="E489" s="247"/>
    </row>
    <row r="490" spans="1:5" x14ac:dyDescent="0.35">
      <c r="D490" s="60" t="s">
        <v>36</v>
      </c>
      <c r="E490" s="51"/>
    </row>
    <row r="491" spans="1:5" x14ac:dyDescent="0.35">
      <c r="E491"/>
    </row>
    <row r="492" spans="1:5" x14ac:dyDescent="0.35">
      <c r="E492"/>
    </row>
    <row r="493" spans="1:5" x14ac:dyDescent="0.35">
      <c r="E493"/>
    </row>
    <row r="494" spans="1:5" ht="15" customHeight="1" x14ac:dyDescent="0.35">
      <c r="E494"/>
    </row>
    <row r="495" spans="1:5" ht="23.25" customHeight="1" x14ac:dyDescent="0.35">
      <c r="E495"/>
    </row>
    <row r="496" spans="1:5" x14ac:dyDescent="0.35">
      <c r="E496"/>
    </row>
    <row r="497" spans="5:5" ht="16.5" customHeight="1" x14ac:dyDescent="0.35">
      <c r="E497"/>
    </row>
    <row r="498" spans="5:5" x14ac:dyDescent="0.35">
      <c r="E498"/>
    </row>
    <row r="499" spans="5:5" x14ac:dyDescent="0.35">
      <c r="E499"/>
    </row>
    <row r="500" spans="5:5" x14ac:dyDescent="0.35">
      <c r="E500"/>
    </row>
    <row r="501" spans="5:5" ht="15.75" customHeight="1" x14ac:dyDescent="0.35">
      <c r="E501"/>
    </row>
    <row r="502" spans="5:5" x14ac:dyDescent="0.35">
      <c r="E502"/>
    </row>
    <row r="503" spans="5:5" ht="15.75" customHeight="1" x14ac:dyDescent="0.35">
      <c r="E503"/>
    </row>
    <row r="504" spans="5:5" ht="15.75" customHeight="1" x14ac:dyDescent="0.35">
      <c r="E504"/>
    </row>
    <row r="505" spans="5:5" x14ac:dyDescent="0.35">
      <c r="E505"/>
    </row>
    <row r="506" spans="5:5" x14ac:dyDescent="0.35">
      <c r="E506"/>
    </row>
    <row r="507" spans="5:5" x14ac:dyDescent="0.35">
      <c r="E507"/>
    </row>
    <row r="508" spans="5:5" x14ac:dyDescent="0.35">
      <c r="E508"/>
    </row>
    <row r="509" spans="5:5" x14ac:dyDescent="0.35">
      <c r="E509"/>
    </row>
    <row r="510" spans="5:5" x14ac:dyDescent="0.35">
      <c r="E510"/>
    </row>
    <row r="511" spans="5:5" x14ac:dyDescent="0.35">
      <c r="E511"/>
    </row>
    <row r="512" spans="5:5" x14ac:dyDescent="0.35">
      <c r="E512"/>
    </row>
    <row r="513" spans="5:5" x14ac:dyDescent="0.35">
      <c r="E513"/>
    </row>
    <row r="514" spans="5:5" x14ac:dyDescent="0.35">
      <c r="E514"/>
    </row>
    <row r="515" spans="5:5" x14ac:dyDescent="0.35">
      <c r="E515"/>
    </row>
    <row r="516" spans="5:5" ht="15.75" customHeight="1" x14ac:dyDescent="0.35">
      <c r="E516"/>
    </row>
    <row r="517" spans="5:5" x14ac:dyDescent="0.35">
      <c r="E517"/>
    </row>
    <row r="518" spans="5:5" x14ac:dyDescent="0.35">
      <c r="E518"/>
    </row>
    <row r="519" spans="5:5" x14ac:dyDescent="0.35">
      <c r="E519"/>
    </row>
    <row r="520" spans="5:5" x14ac:dyDescent="0.35">
      <c r="E520"/>
    </row>
    <row r="521" spans="5:5" x14ac:dyDescent="0.35">
      <c r="E521"/>
    </row>
    <row r="522" spans="5:5" x14ac:dyDescent="0.35">
      <c r="E522"/>
    </row>
    <row r="523" spans="5:5" x14ac:dyDescent="0.35">
      <c r="E523"/>
    </row>
    <row r="524" spans="5:5" x14ac:dyDescent="0.35">
      <c r="E524"/>
    </row>
    <row r="525" spans="5:5" x14ac:dyDescent="0.35">
      <c r="E525"/>
    </row>
    <row r="526" spans="5:5" x14ac:dyDescent="0.35">
      <c r="E526"/>
    </row>
    <row r="527" spans="5:5" x14ac:dyDescent="0.35">
      <c r="E527"/>
    </row>
    <row r="528" spans="5:5" x14ac:dyDescent="0.35">
      <c r="E528"/>
    </row>
    <row r="529" spans="5:5" ht="16.5" customHeight="1" x14ac:dyDescent="0.35">
      <c r="E529"/>
    </row>
    <row r="530" spans="5:5" x14ac:dyDescent="0.35">
      <c r="E530"/>
    </row>
    <row r="531" spans="5:5" x14ac:dyDescent="0.35">
      <c r="E531"/>
    </row>
    <row r="532" spans="5:5" x14ac:dyDescent="0.35">
      <c r="E532"/>
    </row>
    <row r="533" spans="5:5" ht="16.5" customHeight="1" x14ac:dyDescent="0.35">
      <c r="E533"/>
    </row>
    <row r="534" spans="5:5" x14ac:dyDescent="0.35">
      <c r="E534"/>
    </row>
    <row r="535" spans="5:5" ht="16.5" customHeight="1" x14ac:dyDescent="0.35">
      <c r="E535"/>
    </row>
    <row r="536" spans="5:5" x14ac:dyDescent="0.35">
      <c r="E536"/>
    </row>
    <row r="537" spans="5:5" x14ac:dyDescent="0.35">
      <c r="E537"/>
    </row>
    <row r="538" spans="5:5" x14ac:dyDescent="0.35">
      <c r="E538"/>
    </row>
    <row r="539" spans="5:5" ht="15.75" customHeight="1" x14ac:dyDescent="0.35">
      <c r="E539"/>
    </row>
    <row r="540" spans="5:5" x14ac:dyDescent="0.35">
      <c r="E540"/>
    </row>
    <row r="541" spans="5:5" ht="15.75" customHeight="1" x14ac:dyDescent="0.35">
      <c r="E541"/>
    </row>
    <row r="542" spans="5:5" ht="15.75" customHeight="1" x14ac:dyDescent="0.35">
      <c r="E542"/>
    </row>
    <row r="543" spans="5:5" x14ac:dyDescent="0.35">
      <c r="E543"/>
    </row>
    <row r="544" spans="5:5" x14ac:dyDescent="0.35">
      <c r="E544"/>
    </row>
    <row r="545" spans="5:5" x14ac:dyDescent="0.35">
      <c r="E545"/>
    </row>
    <row r="546" spans="5:5" x14ac:dyDescent="0.35">
      <c r="E546"/>
    </row>
    <row r="547" spans="5:5" x14ac:dyDescent="0.35">
      <c r="E547"/>
    </row>
    <row r="548" spans="5:5" x14ac:dyDescent="0.35">
      <c r="E548"/>
    </row>
    <row r="549" spans="5:5" x14ac:dyDescent="0.35">
      <c r="E549"/>
    </row>
    <row r="550" spans="5:5" x14ac:dyDescent="0.35">
      <c r="E550"/>
    </row>
    <row r="551" spans="5:5" x14ac:dyDescent="0.35">
      <c r="E551"/>
    </row>
    <row r="552" spans="5:5" x14ac:dyDescent="0.35">
      <c r="E552"/>
    </row>
    <row r="553" spans="5:5" x14ac:dyDescent="0.35">
      <c r="E553"/>
    </row>
    <row r="554" spans="5:5" ht="15.75" customHeight="1" x14ac:dyDescent="0.35">
      <c r="E554"/>
    </row>
    <row r="555" spans="5:5" x14ac:dyDescent="0.35">
      <c r="E555"/>
    </row>
    <row r="556" spans="5:5" x14ac:dyDescent="0.35">
      <c r="E556"/>
    </row>
    <row r="557" spans="5:5" x14ac:dyDescent="0.35">
      <c r="E557"/>
    </row>
    <row r="558" spans="5:5" x14ac:dyDescent="0.35">
      <c r="E558"/>
    </row>
    <row r="559" spans="5:5" x14ac:dyDescent="0.35">
      <c r="E559"/>
    </row>
    <row r="560" spans="5:5" x14ac:dyDescent="0.35">
      <c r="E560"/>
    </row>
    <row r="561" spans="5:5" x14ac:dyDescent="0.35">
      <c r="E561"/>
    </row>
    <row r="562" spans="5:5" x14ac:dyDescent="0.35">
      <c r="E562"/>
    </row>
    <row r="563" spans="5:5" x14ac:dyDescent="0.35">
      <c r="E563"/>
    </row>
    <row r="564" spans="5:5" x14ac:dyDescent="0.35">
      <c r="E564"/>
    </row>
    <row r="565" spans="5:5" x14ac:dyDescent="0.35">
      <c r="E565"/>
    </row>
    <row r="566" spans="5:5" x14ac:dyDescent="0.35">
      <c r="E566"/>
    </row>
    <row r="567" spans="5:5" ht="16.5" customHeight="1" x14ac:dyDescent="0.35">
      <c r="E567"/>
    </row>
    <row r="568" spans="5:5" x14ac:dyDescent="0.35">
      <c r="E568"/>
    </row>
    <row r="569" spans="5:5" x14ac:dyDescent="0.35">
      <c r="E569"/>
    </row>
    <row r="570" spans="5:5" x14ac:dyDescent="0.35">
      <c r="E570"/>
    </row>
    <row r="571" spans="5:5" ht="16.5" customHeight="1" x14ac:dyDescent="0.35">
      <c r="E571"/>
    </row>
    <row r="572" spans="5:5" x14ac:dyDescent="0.35">
      <c r="E572"/>
    </row>
    <row r="573" spans="5:5" ht="16.5" customHeight="1" x14ac:dyDescent="0.35">
      <c r="E573"/>
    </row>
    <row r="574" spans="5:5" x14ac:dyDescent="0.35">
      <c r="E574"/>
    </row>
    <row r="575" spans="5:5" x14ac:dyDescent="0.35">
      <c r="E575"/>
    </row>
    <row r="576" spans="5:5" x14ac:dyDescent="0.35">
      <c r="E576"/>
    </row>
    <row r="577" spans="5:5" ht="15.75" customHeight="1" x14ac:dyDescent="0.35">
      <c r="E577"/>
    </row>
    <row r="578" spans="5:5" x14ac:dyDescent="0.35">
      <c r="E578"/>
    </row>
    <row r="579" spans="5:5" ht="15.75" customHeight="1" x14ac:dyDescent="0.35">
      <c r="E579"/>
    </row>
    <row r="580" spans="5:5" ht="15.75" customHeight="1" x14ac:dyDescent="0.35">
      <c r="E580"/>
    </row>
    <row r="581" spans="5:5" x14ac:dyDescent="0.35">
      <c r="E581"/>
    </row>
    <row r="582" spans="5:5" x14ac:dyDescent="0.35">
      <c r="E582"/>
    </row>
    <row r="583" spans="5:5" x14ac:dyDescent="0.35">
      <c r="E583"/>
    </row>
    <row r="584" spans="5:5" x14ac:dyDescent="0.35">
      <c r="E584"/>
    </row>
    <row r="585" spans="5:5" x14ac:dyDescent="0.35">
      <c r="E585"/>
    </row>
    <row r="586" spans="5:5" x14ac:dyDescent="0.35">
      <c r="E586"/>
    </row>
    <row r="587" spans="5:5" x14ac:dyDescent="0.35">
      <c r="E587"/>
    </row>
    <row r="588" spans="5:5" x14ac:dyDescent="0.35">
      <c r="E588"/>
    </row>
    <row r="589" spans="5:5" x14ac:dyDescent="0.35">
      <c r="E589"/>
    </row>
    <row r="590" spans="5:5" x14ac:dyDescent="0.35">
      <c r="E590"/>
    </row>
    <row r="591" spans="5:5" x14ac:dyDescent="0.35">
      <c r="E591"/>
    </row>
    <row r="592" spans="5:5" ht="15.75" customHeight="1" x14ac:dyDescent="0.35">
      <c r="E592"/>
    </row>
    <row r="593" spans="5:5" x14ac:dyDescent="0.35">
      <c r="E593"/>
    </row>
    <row r="594" spans="5:5" x14ac:dyDescent="0.35">
      <c r="E594"/>
    </row>
    <row r="595" spans="5:5" x14ac:dyDescent="0.35">
      <c r="E595"/>
    </row>
    <row r="596" spans="5:5" x14ac:dyDescent="0.35">
      <c r="E596"/>
    </row>
    <row r="597" spans="5:5" x14ac:dyDescent="0.35">
      <c r="E597"/>
    </row>
    <row r="598" spans="5:5" x14ac:dyDescent="0.35">
      <c r="E598"/>
    </row>
    <row r="599" spans="5:5" x14ac:dyDescent="0.35">
      <c r="E599"/>
    </row>
    <row r="600" spans="5:5" x14ac:dyDescent="0.35">
      <c r="E600"/>
    </row>
    <row r="601" spans="5:5" x14ac:dyDescent="0.35">
      <c r="E601"/>
    </row>
    <row r="602" spans="5:5" x14ac:dyDescent="0.35">
      <c r="E602"/>
    </row>
    <row r="603" spans="5:5" x14ac:dyDescent="0.35">
      <c r="E603"/>
    </row>
    <row r="604" spans="5:5" x14ac:dyDescent="0.35">
      <c r="E604"/>
    </row>
    <row r="605" spans="5:5" ht="16.5" customHeight="1" x14ac:dyDescent="0.35">
      <c r="E605"/>
    </row>
    <row r="606" spans="5:5" x14ac:dyDescent="0.35">
      <c r="E606"/>
    </row>
    <row r="607" spans="5:5" x14ac:dyDescent="0.35">
      <c r="E607"/>
    </row>
    <row r="608" spans="5:5" x14ac:dyDescent="0.35">
      <c r="E608"/>
    </row>
    <row r="609" spans="5:5" ht="16.5" customHeight="1" x14ac:dyDescent="0.35">
      <c r="E609"/>
    </row>
    <row r="610" spans="5:5" x14ac:dyDescent="0.35">
      <c r="E610"/>
    </row>
    <row r="611" spans="5:5" ht="16.5" customHeight="1" x14ac:dyDescent="0.35">
      <c r="E611"/>
    </row>
    <row r="612" spans="5:5" x14ac:dyDescent="0.35">
      <c r="E612"/>
    </row>
    <row r="613" spans="5:5" x14ac:dyDescent="0.35">
      <c r="E613"/>
    </row>
    <row r="614" spans="5:5" x14ac:dyDescent="0.35">
      <c r="E614"/>
    </row>
    <row r="615" spans="5:5" ht="15.75" customHeight="1" x14ac:dyDescent="0.35">
      <c r="E615"/>
    </row>
    <row r="616" spans="5:5" x14ac:dyDescent="0.35">
      <c r="E616"/>
    </row>
    <row r="617" spans="5:5" ht="15.75" customHeight="1" x14ac:dyDescent="0.35">
      <c r="E617"/>
    </row>
    <row r="618" spans="5:5" ht="15.75" customHeight="1" x14ac:dyDescent="0.35">
      <c r="E618"/>
    </row>
    <row r="619" spans="5:5" x14ac:dyDescent="0.35">
      <c r="E619"/>
    </row>
    <row r="620" spans="5:5" x14ac:dyDescent="0.35">
      <c r="E620"/>
    </row>
    <row r="621" spans="5:5" x14ac:dyDescent="0.35">
      <c r="E621"/>
    </row>
    <row r="622" spans="5:5" x14ac:dyDescent="0.35">
      <c r="E622"/>
    </row>
    <row r="623" spans="5:5" x14ac:dyDescent="0.35">
      <c r="E623"/>
    </row>
    <row r="624" spans="5:5" x14ac:dyDescent="0.35">
      <c r="E624"/>
    </row>
    <row r="625" spans="5:5" x14ac:dyDescent="0.35">
      <c r="E625"/>
    </row>
    <row r="626" spans="5:5" x14ac:dyDescent="0.35">
      <c r="E626"/>
    </row>
    <row r="627" spans="5:5" x14ac:dyDescent="0.35">
      <c r="E627"/>
    </row>
    <row r="628" spans="5:5" x14ac:dyDescent="0.35">
      <c r="E628"/>
    </row>
    <row r="629" spans="5:5" x14ac:dyDescent="0.35">
      <c r="E629"/>
    </row>
    <row r="630" spans="5:5" ht="15.75" customHeight="1" x14ac:dyDescent="0.35">
      <c r="E630"/>
    </row>
    <row r="631" spans="5:5" x14ac:dyDescent="0.35">
      <c r="E631"/>
    </row>
    <row r="632" spans="5:5" x14ac:dyDescent="0.35">
      <c r="E632"/>
    </row>
    <row r="633" spans="5:5" x14ac:dyDescent="0.35">
      <c r="E633"/>
    </row>
    <row r="634" spans="5:5" x14ac:dyDescent="0.35">
      <c r="E634"/>
    </row>
    <row r="635" spans="5:5" x14ac:dyDescent="0.35">
      <c r="E635"/>
    </row>
    <row r="636" spans="5:5" x14ac:dyDescent="0.35">
      <c r="E636"/>
    </row>
    <row r="637" spans="5:5" x14ac:dyDescent="0.35">
      <c r="E637"/>
    </row>
    <row r="638" spans="5:5" x14ac:dyDescent="0.35">
      <c r="E638"/>
    </row>
    <row r="639" spans="5:5" x14ac:dyDescent="0.35">
      <c r="E639"/>
    </row>
    <row r="640" spans="5:5" x14ac:dyDescent="0.35">
      <c r="E640"/>
    </row>
    <row r="641" spans="5:5" x14ac:dyDescent="0.35">
      <c r="E641"/>
    </row>
    <row r="642" spans="5:5" x14ac:dyDescent="0.35">
      <c r="E642"/>
    </row>
    <row r="643" spans="5:5" ht="16.5" customHeight="1" x14ac:dyDescent="0.35">
      <c r="E643"/>
    </row>
    <row r="644" spans="5:5" x14ac:dyDescent="0.35">
      <c r="E644"/>
    </row>
    <row r="645" spans="5:5" x14ac:dyDescent="0.35">
      <c r="E645"/>
    </row>
    <row r="646" spans="5:5" x14ac:dyDescent="0.35">
      <c r="E646"/>
    </row>
    <row r="647" spans="5:5" ht="16.5" customHeight="1" x14ac:dyDescent="0.35">
      <c r="E647"/>
    </row>
    <row r="648" spans="5:5" x14ac:dyDescent="0.35">
      <c r="E648"/>
    </row>
    <row r="649" spans="5:5" ht="16.5" customHeight="1" x14ac:dyDescent="0.35">
      <c r="E649"/>
    </row>
    <row r="650" spans="5:5" x14ac:dyDescent="0.35">
      <c r="E650"/>
    </row>
    <row r="651" spans="5:5" x14ac:dyDescent="0.35">
      <c r="E651"/>
    </row>
    <row r="652" spans="5:5" x14ac:dyDescent="0.35">
      <c r="E652"/>
    </row>
    <row r="653" spans="5:5" ht="15.75" customHeight="1" x14ac:dyDescent="0.35">
      <c r="E653"/>
    </row>
    <row r="654" spans="5:5" x14ac:dyDescent="0.35">
      <c r="E654"/>
    </row>
    <row r="655" spans="5:5" ht="15.75" customHeight="1" x14ac:dyDescent="0.35">
      <c r="E655"/>
    </row>
    <row r="656" spans="5:5" ht="15.75" customHeight="1" x14ac:dyDescent="0.35">
      <c r="E656"/>
    </row>
    <row r="657" spans="5:9" x14ac:dyDescent="0.35">
      <c r="E657"/>
    </row>
    <row r="658" spans="5:9" x14ac:dyDescent="0.35">
      <c r="E658"/>
    </row>
    <row r="659" spans="5:9" x14ac:dyDescent="0.35">
      <c r="E659"/>
      <c r="I659" t="s">
        <v>71</v>
      </c>
    </row>
    <row r="660" spans="5:9" x14ac:dyDescent="0.35">
      <c r="E660"/>
    </row>
    <row r="661" spans="5:9" x14ac:dyDescent="0.35">
      <c r="E661"/>
    </row>
    <row r="662" spans="5:9" x14ac:dyDescent="0.35">
      <c r="E662"/>
    </row>
    <row r="663" spans="5:9" x14ac:dyDescent="0.35">
      <c r="E663"/>
    </row>
    <row r="664" spans="5:9" x14ac:dyDescent="0.35">
      <c r="E664"/>
    </row>
    <row r="665" spans="5:9" x14ac:dyDescent="0.35">
      <c r="E665"/>
    </row>
    <row r="666" spans="5:9" x14ac:dyDescent="0.35">
      <c r="E666"/>
    </row>
    <row r="667" spans="5:9" x14ac:dyDescent="0.35">
      <c r="E667"/>
    </row>
    <row r="668" spans="5:9" ht="15.75" customHeight="1" x14ac:dyDescent="0.35">
      <c r="E668"/>
    </row>
    <row r="669" spans="5:9" x14ac:dyDescent="0.35">
      <c r="E669"/>
    </row>
    <row r="670" spans="5:9" x14ac:dyDescent="0.35">
      <c r="E670"/>
    </row>
    <row r="671" spans="5:9" x14ac:dyDescent="0.35">
      <c r="E671"/>
    </row>
    <row r="672" spans="5:9" x14ac:dyDescent="0.35">
      <c r="E672"/>
    </row>
    <row r="673" spans="5:5" x14ac:dyDescent="0.35">
      <c r="E673"/>
    </row>
    <row r="674" spans="5:5" x14ac:dyDescent="0.35">
      <c r="E674"/>
    </row>
    <row r="675" spans="5:5" x14ac:dyDescent="0.35">
      <c r="E675"/>
    </row>
    <row r="676" spans="5:5" x14ac:dyDescent="0.35">
      <c r="E676"/>
    </row>
    <row r="677" spans="5:5" x14ac:dyDescent="0.35">
      <c r="E677"/>
    </row>
    <row r="678" spans="5:5" x14ac:dyDescent="0.35">
      <c r="E678"/>
    </row>
    <row r="679" spans="5:5" x14ac:dyDescent="0.35">
      <c r="E679"/>
    </row>
    <row r="680" spans="5:5" x14ac:dyDescent="0.35">
      <c r="E680"/>
    </row>
    <row r="681" spans="5:5" ht="16.5" customHeight="1" x14ac:dyDescent="0.35">
      <c r="E681"/>
    </row>
    <row r="682" spans="5:5" x14ac:dyDescent="0.35">
      <c r="E682"/>
    </row>
    <row r="683" spans="5:5" x14ac:dyDescent="0.35">
      <c r="E683"/>
    </row>
    <row r="684" spans="5:5" x14ac:dyDescent="0.35">
      <c r="E684"/>
    </row>
    <row r="685" spans="5:5" ht="16.5" customHeight="1" x14ac:dyDescent="0.35">
      <c r="E685"/>
    </row>
    <row r="686" spans="5:5" x14ac:dyDescent="0.35">
      <c r="E686"/>
    </row>
    <row r="687" spans="5:5" ht="16.5" customHeight="1" x14ac:dyDescent="0.35">
      <c r="E687"/>
    </row>
    <row r="688" spans="5:5" x14ac:dyDescent="0.35">
      <c r="E688"/>
    </row>
    <row r="689" spans="5:5" x14ac:dyDescent="0.35">
      <c r="E689"/>
    </row>
    <row r="690" spans="5:5" x14ac:dyDescent="0.35">
      <c r="E690"/>
    </row>
    <row r="691" spans="5:5" ht="15.75" customHeight="1" x14ac:dyDescent="0.35">
      <c r="E691"/>
    </row>
    <row r="692" spans="5:5" x14ac:dyDescent="0.35">
      <c r="E692"/>
    </row>
    <row r="693" spans="5:5" ht="15.75" customHeight="1" x14ac:dyDescent="0.35">
      <c r="E693"/>
    </row>
    <row r="694" spans="5:5" ht="15.75" customHeight="1" x14ac:dyDescent="0.35">
      <c r="E694"/>
    </row>
    <row r="695" spans="5:5" x14ac:dyDescent="0.35">
      <c r="E695"/>
    </row>
    <row r="696" spans="5:5" x14ac:dyDescent="0.35">
      <c r="E696"/>
    </row>
    <row r="697" spans="5:5" x14ac:dyDescent="0.35">
      <c r="E697"/>
    </row>
    <row r="698" spans="5:5" x14ac:dyDescent="0.35">
      <c r="E698"/>
    </row>
    <row r="699" spans="5:5" x14ac:dyDescent="0.35">
      <c r="E699"/>
    </row>
    <row r="700" spans="5:5" x14ac:dyDescent="0.35">
      <c r="E700"/>
    </row>
    <row r="701" spans="5:5" x14ac:dyDescent="0.35">
      <c r="E701"/>
    </row>
    <row r="702" spans="5:5" x14ac:dyDescent="0.35">
      <c r="E702"/>
    </row>
    <row r="703" spans="5:5" x14ac:dyDescent="0.35">
      <c r="E703"/>
    </row>
    <row r="704" spans="5:5" x14ac:dyDescent="0.35">
      <c r="E704"/>
    </row>
    <row r="705" spans="5:5" x14ac:dyDescent="0.35">
      <c r="E705"/>
    </row>
    <row r="706" spans="5:5" ht="15.75" customHeight="1" x14ac:dyDescent="0.35">
      <c r="E706"/>
    </row>
    <row r="707" spans="5:5" x14ac:dyDescent="0.35">
      <c r="E707"/>
    </row>
    <row r="708" spans="5:5" x14ac:dyDescent="0.35">
      <c r="E708"/>
    </row>
    <row r="709" spans="5:5" x14ac:dyDescent="0.35">
      <c r="E709"/>
    </row>
    <row r="710" spans="5:5" x14ac:dyDescent="0.35">
      <c r="E710"/>
    </row>
    <row r="711" spans="5:5" x14ac:dyDescent="0.35">
      <c r="E711"/>
    </row>
    <row r="712" spans="5:5" x14ac:dyDescent="0.35">
      <c r="E712"/>
    </row>
    <row r="713" spans="5:5" x14ac:dyDescent="0.35">
      <c r="E713"/>
    </row>
    <row r="714" spans="5:5" x14ac:dyDescent="0.35">
      <c r="E714"/>
    </row>
    <row r="715" spans="5:5" x14ac:dyDescent="0.35">
      <c r="E715"/>
    </row>
    <row r="716" spans="5:5" x14ac:dyDescent="0.35">
      <c r="E716"/>
    </row>
    <row r="717" spans="5:5" x14ac:dyDescent="0.35">
      <c r="E717"/>
    </row>
    <row r="718" spans="5:5" x14ac:dyDescent="0.35">
      <c r="E718"/>
    </row>
    <row r="719" spans="5:5" ht="16.5" customHeight="1" x14ac:dyDescent="0.35">
      <c r="E719"/>
    </row>
    <row r="720" spans="5:5" x14ac:dyDescent="0.35">
      <c r="E720"/>
    </row>
    <row r="721" spans="5:5" x14ac:dyDescent="0.35">
      <c r="E721"/>
    </row>
    <row r="722" spans="5:5" x14ac:dyDescent="0.35">
      <c r="E722"/>
    </row>
    <row r="723" spans="5:5" ht="16.5" customHeight="1" x14ac:dyDescent="0.35">
      <c r="E723"/>
    </row>
    <row r="724" spans="5:5" x14ac:dyDescent="0.35">
      <c r="E724"/>
    </row>
    <row r="725" spans="5:5" ht="16.5" customHeight="1" x14ac:dyDescent="0.35">
      <c r="E725"/>
    </row>
    <row r="726" spans="5:5" x14ac:dyDescent="0.35">
      <c r="E726"/>
    </row>
    <row r="727" spans="5:5" x14ac:dyDescent="0.35">
      <c r="E727"/>
    </row>
    <row r="728" spans="5:5" x14ac:dyDescent="0.35">
      <c r="E728"/>
    </row>
    <row r="729" spans="5:5" ht="15.75" customHeight="1" x14ac:dyDescent="0.35">
      <c r="E729"/>
    </row>
    <row r="730" spans="5:5" x14ac:dyDescent="0.35">
      <c r="E730"/>
    </row>
    <row r="731" spans="5:5" ht="15.75" customHeight="1" x14ac:dyDescent="0.35">
      <c r="E731"/>
    </row>
    <row r="732" spans="5:5" ht="15.75" customHeight="1" x14ac:dyDescent="0.35">
      <c r="E732"/>
    </row>
    <row r="733" spans="5:5" x14ac:dyDescent="0.35">
      <c r="E733"/>
    </row>
    <row r="734" spans="5:5" x14ac:dyDescent="0.35">
      <c r="E734"/>
    </row>
    <row r="735" spans="5:5" x14ac:dyDescent="0.35">
      <c r="E735"/>
    </row>
    <row r="736" spans="5:5" x14ac:dyDescent="0.35">
      <c r="E736"/>
    </row>
    <row r="737" spans="5:5" x14ac:dyDescent="0.35">
      <c r="E737"/>
    </row>
    <row r="738" spans="5:5" x14ac:dyDescent="0.35">
      <c r="E738"/>
    </row>
    <row r="739" spans="5:5" x14ac:dyDescent="0.35">
      <c r="E739"/>
    </row>
    <row r="740" spans="5:5" x14ac:dyDescent="0.35">
      <c r="E740"/>
    </row>
    <row r="741" spans="5:5" x14ac:dyDescent="0.35">
      <c r="E741"/>
    </row>
    <row r="742" spans="5:5" x14ac:dyDescent="0.35">
      <c r="E742"/>
    </row>
    <row r="743" spans="5:5" x14ac:dyDescent="0.35">
      <c r="E743"/>
    </row>
    <row r="744" spans="5:5" ht="15.75" customHeight="1" x14ac:dyDescent="0.35">
      <c r="E744"/>
    </row>
    <row r="745" spans="5:5" x14ac:dyDescent="0.35">
      <c r="E745"/>
    </row>
    <row r="746" spans="5:5" x14ac:dyDescent="0.35">
      <c r="E746"/>
    </row>
    <row r="747" spans="5:5" x14ac:dyDescent="0.35">
      <c r="E747"/>
    </row>
    <row r="748" spans="5:5" x14ac:dyDescent="0.35">
      <c r="E748"/>
    </row>
    <row r="749" spans="5:5" x14ac:dyDescent="0.35">
      <c r="E749"/>
    </row>
    <row r="750" spans="5:5" x14ac:dyDescent="0.35">
      <c r="E750"/>
    </row>
    <row r="751" spans="5:5" x14ac:dyDescent="0.35">
      <c r="E751"/>
    </row>
    <row r="752" spans="5:5" x14ac:dyDescent="0.35">
      <c r="E752"/>
    </row>
    <row r="753" spans="5:5" x14ac:dyDescent="0.35">
      <c r="E753"/>
    </row>
    <row r="754" spans="5:5" x14ac:dyDescent="0.35">
      <c r="E754"/>
    </row>
    <row r="755" spans="5:5" x14ac:dyDescent="0.35">
      <c r="E755"/>
    </row>
    <row r="756" spans="5:5" x14ac:dyDescent="0.35">
      <c r="E756"/>
    </row>
    <row r="757" spans="5:5" ht="16.5" customHeight="1" x14ac:dyDescent="0.35">
      <c r="E757"/>
    </row>
    <row r="758" spans="5:5" x14ac:dyDescent="0.35">
      <c r="E758"/>
    </row>
    <row r="759" spans="5:5" x14ac:dyDescent="0.35">
      <c r="E759"/>
    </row>
    <row r="760" spans="5:5" x14ac:dyDescent="0.35">
      <c r="E760"/>
    </row>
    <row r="761" spans="5:5" ht="16.5" customHeight="1" x14ac:dyDescent="0.35">
      <c r="E761"/>
    </row>
    <row r="762" spans="5:5" x14ac:dyDescent="0.35">
      <c r="E762"/>
    </row>
    <row r="763" spans="5:5" ht="16.5" customHeight="1" x14ac:dyDescent="0.35">
      <c r="E763"/>
    </row>
    <row r="764" spans="5:5" x14ac:dyDescent="0.35">
      <c r="E764"/>
    </row>
    <row r="765" spans="5:5" x14ac:dyDescent="0.35">
      <c r="E765"/>
    </row>
    <row r="766" spans="5:5" x14ac:dyDescent="0.35">
      <c r="E766"/>
    </row>
    <row r="767" spans="5:5" x14ac:dyDescent="0.35">
      <c r="E767"/>
    </row>
    <row r="768" spans="5:5" x14ac:dyDescent="0.35">
      <c r="E768"/>
    </row>
    <row r="769" spans="5:5" ht="15.75" customHeight="1" x14ac:dyDescent="0.35">
      <c r="E769"/>
    </row>
    <row r="770" spans="5:5" ht="15.75" customHeight="1" x14ac:dyDescent="0.35">
      <c r="E770"/>
    </row>
    <row r="771" spans="5:5" x14ac:dyDescent="0.35">
      <c r="E771"/>
    </row>
    <row r="772" spans="5:5" x14ac:dyDescent="0.35">
      <c r="E772"/>
    </row>
    <row r="773" spans="5:5" x14ac:dyDescent="0.35">
      <c r="E773"/>
    </row>
    <row r="774" spans="5:5" x14ac:dyDescent="0.35">
      <c r="E774"/>
    </row>
    <row r="775" spans="5:5" x14ac:dyDescent="0.35">
      <c r="E775"/>
    </row>
    <row r="776" spans="5:5" x14ac:dyDescent="0.35">
      <c r="E776"/>
    </row>
    <row r="777" spans="5:5" x14ac:dyDescent="0.35">
      <c r="E777"/>
    </row>
    <row r="778" spans="5:5" x14ac:dyDescent="0.35">
      <c r="E778"/>
    </row>
    <row r="779" spans="5:5" x14ac:dyDescent="0.35">
      <c r="E779"/>
    </row>
    <row r="780" spans="5:5" x14ac:dyDescent="0.35">
      <c r="E780"/>
    </row>
    <row r="781" spans="5:5" x14ac:dyDescent="0.35">
      <c r="E781"/>
    </row>
    <row r="782" spans="5:5" ht="15.75" customHeight="1" x14ac:dyDescent="0.35">
      <c r="E782"/>
    </row>
    <row r="783" spans="5:5" x14ac:dyDescent="0.35">
      <c r="E783"/>
    </row>
    <row r="784" spans="5:5" x14ac:dyDescent="0.35">
      <c r="E784"/>
    </row>
    <row r="785" spans="5:5" x14ac:dyDescent="0.35">
      <c r="E785"/>
    </row>
    <row r="786" spans="5:5" x14ac:dyDescent="0.35">
      <c r="E786"/>
    </row>
    <row r="787" spans="5:5" x14ac:dyDescent="0.35">
      <c r="E787"/>
    </row>
    <row r="788" spans="5:5" x14ac:dyDescent="0.35">
      <c r="E788"/>
    </row>
    <row r="789" spans="5:5" x14ac:dyDescent="0.35">
      <c r="E789"/>
    </row>
    <row r="790" spans="5:5" x14ac:dyDescent="0.35">
      <c r="E790"/>
    </row>
    <row r="791" spans="5:5" x14ac:dyDescent="0.35">
      <c r="E791"/>
    </row>
    <row r="792" spans="5:5" x14ac:dyDescent="0.35">
      <c r="E792"/>
    </row>
    <row r="793" spans="5:5" x14ac:dyDescent="0.35">
      <c r="E793"/>
    </row>
    <row r="794" spans="5:5" x14ac:dyDescent="0.35">
      <c r="E794"/>
    </row>
    <row r="795" spans="5:5" ht="16.5" customHeight="1" x14ac:dyDescent="0.35">
      <c r="E795"/>
    </row>
    <row r="796" spans="5:5" x14ac:dyDescent="0.35">
      <c r="E796"/>
    </row>
    <row r="797" spans="5:5" x14ac:dyDescent="0.35">
      <c r="E797"/>
    </row>
    <row r="798" spans="5:5" x14ac:dyDescent="0.35">
      <c r="E798"/>
    </row>
    <row r="799" spans="5:5" ht="16.5" customHeight="1" x14ac:dyDescent="0.35">
      <c r="E799"/>
    </row>
    <row r="800" spans="5:5" x14ac:dyDescent="0.35">
      <c r="E800"/>
    </row>
    <row r="801" spans="5:5" ht="16.5" customHeight="1" x14ac:dyDescent="0.35">
      <c r="E801"/>
    </row>
    <row r="802" spans="5:5" x14ac:dyDescent="0.35">
      <c r="E802"/>
    </row>
    <row r="803" spans="5:5" x14ac:dyDescent="0.35">
      <c r="E803"/>
    </row>
    <row r="804" spans="5:5" x14ac:dyDescent="0.35">
      <c r="E804"/>
    </row>
    <row r="805" spans="5:5" x14ac:dyDescent="0.35">
      <c r="E805"/>
    </row>
    <row r="806" spans="5:5" x14ac:dyDescent="0.35">
      <c r="E806"/>
    </row>
    <row r="807" spans="5:5" ht="15.75" customHeight="1" x14ac:dyDescent="0.35">
      <c r="E807"/>
    </row>
    <row r="808" spans="5:5" ht="15.75" customHeight="1" x14ac:dyDescent="0.35">
      <c r="E808"/>
    </row>
    <row r="809" spans="5:5" x14ac:dyDescent="0.35">
      <c r="E809"/>
    </row>
    <row r="810" spans="5:5" x14ac:dyDescent="0.35">
      <c r="E810"/>
    </row>
    <row r="811" spans="5:5" x14ac:dyDescent="0.35">
      <c r="E811"/>
    </row>
    <row r="812" spans="5:5" x14ac:dyDescent="0.35">
      <c r="E812"/>
    </row>
    <row r="813" spans="5:5" x14ac:dyDescent="0.35">
      <c r="E813"/>
    </row>
    <row r="814" spans="5:5" x14ac:dyDescent="0.35">
      <c r="E814"/>
    </row>
    <row r="815" spans="5:5" x14ac:dyDescent="0.35">
      <c r="E815"/>
    </row>
    <row r="816" spans="5:5" x14ac:dyDescent="0.35">
      <c r="E816"/>
    </row>
    <row r="817" spans="5:5" x14ac:dyDescent="0.35">
      <c r="E817"/>
    </row>
    <row r="818" spans="5:5" x14ac:dyDescent="0.35">
      <c r="E818"/>
    </row>
    <row r="819" spans="5:5" x14ac:dyDescent="0.35">
      <c r="E819"/>
    </row>
    <row r="820" spans="5:5" x14ac:dyDescent="0.35">
      <c r="E820"/>
    </row>
    <row r="821" spans="5:5" x14ac:dyDescent="0.35">
      <c r="E821"/>
    </row>
    <row r="822" spans="5:5" x14ac:dyDescent="0.35">
      <c r="E822"/>
    </row>
    <row r="823" spans="5:5" x14ac:dyDescent="0.35">
      <c r="E823"/>
    </row>
    <row r="824" spans="5:5" x14ac:dyDescent="0.35">
      <c r="E824"/>
    </row>
    <row r="825" spans="5:5" x14ac:dyDescent="0.35">
      <c r="E825"/>
    </row>
    <row r="826" spans="5:5" x14ac:dyDescent="0.35">
      <c r="E826"/>
    </row>
    <row r="827" spans="5:5" x14ac:dyDescent="0.35">
      <c r="E827"/>
    </row>
    <row r="828" spans="5:5" x14ac:dyDescent="0.35">
      <c r="E828"/>
    </row>
    <row r="829" spans="5:5" x14ac:dyDescent="0.35">
      <c r="E829"/>
    </row>
    <row r="830" spans="5:5" x14ac:dyDescent="0.35">
      <c r="E830"/>
    </row>
    <row r="831" spans="5:5" x14ac:dyDescent="0.35">
      <c r="E831"/>
    </row>
    <row r="832" spans="5:5" x14ac:dyDescent="0.35">
      <c r="E832"/>
    </row>
    <row r="833" spans="5:5" x14ac:dyDescent="0.35">
      <c r="E833"/>
    </row>
    <row r="834" spans="5:5" x14ac:dyDescent="0.35">
      <c r="E834"/>
    </row>
    <row r="835" spans="5:5" x14ac:dyDescent="0.35">
      <c r="E835"/>
    </row>
    <row r="836" spans="5:5" x14ac:dyDescent="0.35">
      <c r="E836"/>
    </row>
    <row r="837" spans="5:5" x14ac:dyDescent="0.35">
      <c r="E837"/>
    </row>
    <row r="838" spans="5:5" x14ac:dyDescent="0.35">
      <c r="E838"/>
    </row>
    <row r="839" spans="5:5" x14ac:dyDescent="0.35">
      <c r="E839"/>
    </row>
    <row r="840" spans="5:5" x14ac:dyDescent="0.35">
      <c r="E840"/>
    </row>
    <row r="841" spans="5:5" x14ac:dyDescent="0.35">
      <c r="E841"/>
    </row>
    <row r="842" spans="5:5" x14ac:dyDescent="0.35">
      <c r="E842"/>
    </row>
    <row r="843" spans="5:5" x14ac:dyDescent="0.35">
      <c r="E843"/>
    </row>
    <row r="844" spans="5:5" x14ac:dyDescent="0.35">
      <c r="E844"/>
    </row>
    <row r="845" spans="5:5" x14ac:dyDescent="0.35">
      <c r="E845"/>
    </row>
    <row r="846" spans="5:5" x14ac:dyDescent="0.35">
      <c r="E846"/>
    </row>
    <row r="847" spans="5:5" x14ac:dyDescent="0.35">
      <c r="E847"/>
    </row>
    <row r="848" spans="5:5" x14ac:dyDescent="0.35">
      <c r="E848"/>
    </row>
    <row r="849" spans="5:5" x14ac:dyDescent="0.35">
      <c r="E849"/>
    </row>
    <row r="850" spans="5:5" x14ac:dyDescent="0.35">
      <c r="E850"/>
    </row>
    <row r="851" spans="5:5" x14ac:dyDescent="0.35">
      <c r="E851"/>
    </row>
    <row r="852" spans="5:5" x14ac:dyDescent="0.35">
      <c r="E852"/>
    </row>
    <row r="853" spans="5:5" x14ac:dyDescent="0.35">
      <c r="E853"/>
    </row>
    <row r="854" spans="5:5" x14ac:dyDescent="0.35">
      <c r="E854"/>
    </row>
    <row r="855" spans="5:5" x14ac:dyDescent="0.35">
      <c r="E855"/>
    </row>
    <row r="856" spans="5:5" x14ac:dyDescent="0.35">
      <c r="E856"/>
    </row>
    <row r="857" spans="5:5" x14ac:dyDescent="0.35">
      <c r="E857"/>
    </row>
    <row r="858" spans="5:5" x14ac:dyDescent="0.35">
      <c r="E858"/>
    </row>
    <row r="859" spans="5:5" x14ac:dyDescent="0.35">
      <c r="E859"/>
    </row>
    <row r="860" spans="5:5" x14ac:dyDescent="0.35">
      <c r="E860"/>
    </row>
    <row r="861" spans="5:5" x14ac:dyDescent="0.35">
      <c r="E861"/>
    </row>
    <row r="862" spans="5:5" x14ac:dyDescent="0.35">
      <c r="E862"/>
    </row>
    <row r="863" spans="5:5" x14ac:dyDescent="0.35">
      <c r="E863"/>
    </row>
    <row r="864" spans="5:5" x14ac:dyDescent="0.35">
      <c r="E864"/>
    </row>
    <row r="865" spans="5:5" x14ac:dyDescent="0.35">
      <c r="E865"/>
    </row>
    <row r="866" spans="5:5" x14ac:dyDescent="0.35">
      <c r="E866"/>
    </row>
    <row r="867" spans="5:5" x14ac:dyDescent="0.35">
      <c r="E867"/>
    </row>
    <row r="868" spans="5:5" x14ac:dyDescent="0.35">
      <c r="E868"/>
    </row>
    <row r="869" spans="5:5" x14ac:dyDescent="0.35">
      <c r="E869"/>
    </row>
    <row r="870" spans="5:5" x14ac:dyDescent="0.35">
      <c r="E870"/>
    </row>
    <row r="871" spans="5:5" x14ac:dyDescent="0.35">
      <c r="E871"/>
    </row>
    <row r="872" spans="5:5" x14ac:dyDescent="0.35">
      <c r="E872"/>
    </row>
    <row r="873" spans="5:5" x14ac:dyDescent="0.35">
      <c r="E873"/>
    </row>
    <row r="874" spans="5:5" x14ac:dyDescent="0.35">
      <c r="E874"/>
    </row>
    <row r="875" spans="5:5" x14ac:dyDescent="0.35">
      <c r="E875"/>
    </row>
    <row r="876" spans="5:5" x14ac:dyDescent="0.35">
      <c r="E876"/>
    </row>
    <row r="877" spans="5:5" x14ac:dyDescent="0.35">
      <c r="E877"/>
    </row>
    <row r="878" spans="5:5" x14ac:dyDescent="0.35">
      <c r="E878"/>
    </row>
    <row r="879" spans="5:5" x14ac:dyDescent="0.35">
      <c r="E879"/>
    </row>
    <row r="880" spans="5:5" x14ac:dyDescent="0.35">
      <c r="E880"/>
    </row>
    <row r="881" spans="5:5" x14ac:dyDescent="0.35">
      <c r="E881"/>
    </row>
    <row r="882" spans="5:5" x14ac:dyDescent="0.35">
      <c r="E882"/>
    </row>
    <row r="883" spans="5:5" x14ac:dyDescent="0.35">
      <c r="E883"/>
    </row>
    <row r="884" spans="5:5" x14ac:dyDescent="0.35">
      <c r="E884"/>
    </row>
    <row r="885" spans="5:5" x14ac:dyDescent="0.35">
      <c r="E885"/>
    </row>
    <row r="886" spans="5:5" x14ac:dyDescent="0.35">
      <c r="E886"/>
    </row>
    <row r="887" spans="5:5" x14ac:dyDescent="0.35">
      <c r="E887"/>
    </row>
    <row r="888" spans="5:5" x14ac:dyDescent="0.35">
      <c r="E888"/>
    </row>
    <row r="889" spans="5:5" x14ac:dyDescent="0.35">
      <c r="E889"/>
    </row>
    <row r="890" spans="5:5" x14ac:dyDescent="0.35">
      <c r="E890"/>
    </row>
    <row r="891" spans="5:5" x14ac:dyDescent="0.35">
      <c r="E891"/>
    </row>
    <row r="892" spans="5:5" x14ac:dyDescent="0.35">
      <c r="E892"/>
    </row>
    <row r="893" spans="5:5" x14ac:dyDescent="0.35">
      <c r="E893"/>
    </row>
    <row r="894" spans="5:5" x14ac:dyDescent="0.35">
      <c r="E894"/>
    </row>
    <row r="895" spans="5:5" x14ac:dyDescent="0.35">
      <c r="E895"/>
    </row>
    <row r="896" spans="5:5" x14ac:dyDescent="0.35">
      <c r="E896"/>
    </row>
    <row r="897" spans="5:5" x14ac:dyDescent="0.35">
      <c r="E897"/>
    </row>
    <row r="898" spans="5:5" x14ac:dyDescent="0.35">
      <c r="E898"/>
    </row>
    <row r="899" spans="5:5" x14ac:dyDescent="0.35">
      <c r="E899"/>
    </row>
    <row r="900" spans="5:5" x14ac:dyDescent="0.35">
      <c r="E900"/>
    </row>
    <row r="901" spans="5:5" x14ac:dyDescent="0.35">
      <c r="E901"/>
    </row>
    <row r="902" spans="5:5" x14ac:dyDescent="0.35">
      <c r="E902"/>
    </row>
    <row r="903" spans="5:5" x14ac:dyDescent="0.35">
      <c r="E903"/>
    </row>
    <row r="904" spans="5:5" x14ac:dyDescent="0.35">
      <c r="E904"/>
    </row>
    <row r="905" spans="5:5" x14ac:dyDescent="0.35">
      <c r="E905"/>
    </row>
    <row r="906" spans="5:5" x14ac:dyDescent="0.35">
      <c r="E906"/>
    </row>
    <row r="907" spans="5:5" x14ac:dyDescent="0.35">
      <c r="E907"/>
    </row>
    <row r="908" spans="5:5" x14ac:dyDescent="0.35">
      <c r="E908"/>
    </row>
    <row r="909" spans="5:5" x14ac:dyDescent="0.35">
      <c r="E909"/>
    </row>
    <row r="910" spans="5:5" x14ac:dyDescent="0.35">
      <c r="E910"/>
    </row>
    <row r="911" spans="5:5" x14ac:dyDescent="0.35">
      <c r="E911"/>
    </row>
    <row r="912" spans="5:5" x14ac:dyDescent="0.35">
      <c r="E912"/>
    </row>
    <row r="913" spans="5:5" x14ac:dyDescent="0.35">
      <c r="E913"/>
    </row>
    <row r="914" spans="5:5" x14ac:dyDescent="0.35">
      <c r="E914"/>
    </row>
    <row r="915" spans="5:5" x14ac:dyDescent="0.35">
      <c r="E915"/>
    </row>
    <row r="916" spans="5:5" x14ac:dyDescent="0.35">
      <c r="E916"/>
    </row>
    <row r="917" spans="5:5" x14ac:dyDescent="0.35">
      <c r="E917"/>
    </row>
    <row r="918" spans="5:5" x14ac:dyDescent="0.35">
      <c r="E918"/>
    </row>
    <row r="919" spans="5:5" x14ac:dyDescent="0.35">
      <c r="E919"/>
    </row>
    <row r="920" spans="5:5" x14ac:dyDescent="0.35">
      <c r="E920"/>
    </row>
    <row r="921" spans="5:5" x14ac:dyDescent="0.35">
      <c r="E921"/>
    </row>
    <row r="922" spans="5:5" x14ac:dyDescent="0.35">
      <c r="E922"/>
    </row>
    <row r="923" spans="5:5" x14ac:dyDescent="0.35">
      <c r="E923"/>
    </row>
    <row r="924" spans="5:5" x14ac:dyDescent="0.35">
      <c r="E924"/>
    </row>
    <row r="925" spans="5:5" x14ac:dyDescent="0.35">
      <c r="E925"/>
    </row>
    <row r="926" spans="5:5" x14ac:dyDescent="0.35">
      <c r="E926"/>
    </row>
    <row r="927" spans="5:5" x14ac:dyDescent="0.35">
      <c r="E927"/>
    </row>
    <row r="928" spans="5:5" x14ac:dyDescent="0.35">
      <c r="E928"/>
    </row>
    <row r="929" spans="5:5" x14ac:dyDescent="0.35">
      <c r="E929"/>
    </row>
    <row r="930" spans="5:5" x14ac:dyDescent="0.35">
      <c r="E930"/>
    </row>
    <row r="931" spans="5:5" x14ac:dyDescent="0.35">
      <c r="E931"/>
    </row>
    <row r="932" spans="5:5" x14ac:dyDescent="0.35">
      <c r="E932"/>
    </row>
    <row r="933" spans="5:5" x14ac:dyDescent="0.35">
      <c r="E933"/>
    </row>
    <row r="934" spans="5:5" x14ac:dyDescent="0.35">
      <c r="E934"/>
    </row>
    <row r="935" spans="5:5" x14ac:dyDescent="0.35">
      <c r="E935"/>
    </row>
    <row r="936" spans="5:5" x14ac:dyDescent="0.35">
      <c r="E936"/>
    </row>
    <row r="937" spans="5:5" x14ac:dyDescent="0.35">
      <c r="E937"/>
    </row>
    <row r="938" spans="5:5" x14ac:dyDescent="0.35">
      <c r="E938"/>
    </row>
    <row r="939" spans="5:5" x14ac:dyDescent="0.35">
      <c r="E939"/>
    </row>
    <row r="940" spans="5:5" x14ac:dyDescent="0.35">
      <c r="E940"/>
    </row>
    <row r="941" spans="5:5" x14ac:dyDescent="0.35">
      <c r="E941"/>
    </row>
    <row r="942" spans="5:5" x14ac:dyDescent="0.35">
      <c r="E942"/>
    </row>
    <row r="943" spans="5:5" x14ac:dyDescent="0.35">
      <c r="E943"/>
    </row>
    <row r="944" spans="5:5" x14ac:dyDescent="0.35">
      <c r="E944"/>
    </row>
    <row r="945" spans="5:5" x14ac:dyDescent="0.35">
      <c r="E945"/>
    </row>
    <row r="946" spans="5:5" x14ac:dyDescent="0.35">
      <c r="E946"/>
    </row>
    <row r="947" spans="5:5" x14ac:dyDescent="0.35">
      <c r="E947"/>
    </row>
    <row r="948" spans="5:5" x14ac:dyDescent="0.35">
      <c r="E948"/>
    </row>
    <row r="949" spans="5:5" x14ac:dyDescent="0.35">
      <c r="E949"/>
    </row>
    <row r="950" spans="5:5" x14ac:dyDescent="0.35">
      <c r="E950"/>
    </row>
    <row r="951" spans="5:5" x14ac:dyDescent="0.35">
      <c r="E951"/>
    </row>
    <row r="952" spans="5:5" x14ac:dyDescent="0.35">
      <c r="E952"/>
    </row>
    <row r="953" spans="5:5" x14ac:dyDescent="0.35">
      <c r="E953"/>
    </row>
    <row r="954" spans="5:5" x14ac:dyDescent="0.35">
      <c r="E954"/>
    </row>
    <row r="955" spans="5:5" x14ac:dyDescent="0.35">
      <c r="E955"/>
    </row>
    <row r="956" spans="5:5" x14ac:dyDescent="0.35">
      <c r="E956"/>
    </row>
    <row r="957" spans="5:5" x14ac:dyDescent="0.35">
      <c r="E957"/>
    </row>
    <row r="958" spans="5:5" x14ac:dyDescent="0.35">
      <c r="E958"/>
    </row>
    <row r="959" spans="5:5" x14ac:dyDescent="0.35">
      <c r="E959"/>
    </row>
    <row r="960" spans="5:5" x14ac:dyDescent="0.35">
      <c r="E960"/>
    </row>
    <row r="961" spans="5:5" x14ac:dyDescent="0.35">
      <c r="E961"/>
    </row>
    <row r="962" spans="5:5" x14ac:dyDescent="0.35">
      <c r="E962"/>
    </row>
    <row r="963" spans="5:5" x14ac:dyDescent="0.35">
      <c r="E963"/>
    </row>
    <row r="964" spans="5:5" x14ac:dyDescent="0.35">
      <c r="E964"/>
    </row>
    <row r="965" spans="5:5" x14ac:dyDescent="0.35">
      <c r="E965"/>
    </row>
    <row r="966" spans="5:5" x14ac:dyDescent="0.35">
      <c r="E966"/>
    </row>
    <row r="967" spans="5:5" x14ac:dyDescent="0.35">
      <c r="E967"/>
    </row>
    <row r="968" spans="5:5" x14ac:dyDescent="0.35">
      <c r="E968"/>
    </row>
    <row r="969" spans="5:5" x14ac:dyDescent="0.35">
      <c r="E969"/>
    </row>
    <row r="970" spans="5:5" x14ac:dyDescent="0.35">
      <c r="E970"/>
    </row>
    <row r="971" spans="5:5" x14ac:dyDescent="0.35">
      <c r="E971"/>
    </row>
    <row r="972" spans="5:5" x14ac:dyDescent="0.35">
      <c r="E972"/>
    </row>
    <row r="973" spans="5:5" x14ac:dyDescent="0.35">
      <c r="E973"/>
    </row>
    <row r="974" spans="5:5" x14ac:dyDescent="0.35">
      <c r="E974"/>
    </row>
    <row r="975" spans="5:5" x14ac:dyDescent="0.35">
      <c r="E975"/>
    </row>
    <row r="976" spans="5:5" x14ac:dyDescent="0.35">
      <c r="E976"/>
    </row>
    <row r="977" spans="5:5" x14ac:dyDescent="0.35">
      <c r="E977"/>
    </row>
    <row r="978" spans="5:5" x14ac:dyDescent="0.35">
      <c r="E978"/>
    </row>
    <row r="979" spans="5:5" x14ac:dyDescent="0.35">
      <c r="E979"/>
    </row>
    <row r="980" spans="5:5" x14ac:dyDescent="0.35">
      <c r="E980"/>
    </row>
    <row r="981" spans="5:5" x14ac:dyDescent="0.35">
      <c r="E981"/>
    </row>
    <row r="982" spans="5:5" x14ac:dyDescent="0.35">
      <c r="E982"/>
    </row>
    <row r="983" spans="5:5" x14ac:dyDescent="0.35">
      <c r="E983"/>
    </row>
    <row r="984" spans="5:5" x14ac:dyDescent="0.35">
      <c r="E984"/>
    </row>
    <row r="985" spans="5:5" x14ac:dyDescent="0.35">
      <c r="E985"/>
    </row>
    <row r="986" spans="5:5" x14ac:dyDescent="0.35">
      <c r="E986"/>
    </row>
    <row r="987" spans="5:5" x14ac:dyDescent="0.35">
      <c r="E987"/>
    </row>
    <row r="988" spans="5:5" x14ac:dyDescent="0.35">
      <c r="E988"/>
    </row>
    <row r="989" spans="5:5" x14ac:dyDescent="0.35">
      <c r="E989"/>
    </row>
    <row r="990" spans="5:5" x14ac:dyDescent="0.35">
      <c r="E990"/>
    </row>
    <row r="991" spans="5:5" x14ac:dyDescent="0.35">
      <c r="E991"/>
    </row>
    <row r="992" spans="5:5" x14ac:dyDescent="0.35">
      <c r="E992"/>
    </row>
    <row r="993" spans="5:5" x14ac:dyDescent="0.35">
      <c r="E993"/>
    </row>
    <row r="994" spans="5:5" x14ac:dyDescent="0.35">
      <c r="E994"/>
    </row>
    <row r="995" spans="5:5" x14ac:dyDescent="0.35">
      <c r="E995"/>
    </row>
    <row r="996" spans="5:5" x14ac:dyDescent="0.35">
      <c r="E996"/>
    </row>
    <row r="997" spans="5:5" x14ac:dyDescent="0.35">
      <c r="E997"/>
    </row>
    <row r="998" spans="5:5" x14ac:dyDescent="0.35">
      <c r="E998"/>
    </row>
    <row r="999" spans="5:5" x14ac:dyDescent="0.35">
      <c r="E999"/>
    </row>
    <row r="1000" spans="5:5" x14ac:dyDescent="0.35">
      <c r="E1000"/>
    </row>
    <row r="1001" spans="5:5" x14ac:dyDescent="0.35">
      <c r="E1001"/>
    </row>
    <row r="1002" spans="5:5" x14ac:dyDescent="0.35">
      <c r="E1002"/>
    </row>
    <row r="1003" spans="5:5" x14ac:dyDescent="0.35">
      <c r="E1003"/>
    </row>
    <row r="1004" spans="5:5" x14ac:dyDescent="0.35">
      <c r="E1004"/>
    </row>
    <row r="1005" spans="5:5" x14ac:dyDescent="0.35">
      <c r="E1005"/>
    </row>
    <row r="1006" spans="5:5" x14ac:dyDescent="0.35">
      <c r="E1006"/>
    </row>
    <row r="1007" spans="5:5" x14ac:dyDescent="0.35">
      <c r="E1007"/>
    </row>
    <row r="1008" spans="5:5" x14ac:dyDescent="0.35">
      <c r="E1008"/>
    </row>
    <row r="1009" spans="5:5" x14ac:dyDescent="0.35">
      <c r="E1009"/>
    </row>
    <row r="1010" spans="5:5" x14ac:dyDescent="0.35">
      <c r="E1010"/>
    </row>
    <row r="1011" spans="5:5" x14ac:dyDescent="0.35">
      <c r="E1011"/>
    </row>
    <row r="1012" spans="5:5" x14ac:dyDescent="0.35">
      <c r="E1012"/>
    </row>
    <row r="1013" spans="5:5" x14ac:dyDescent="0.35">
      <c r="E1013"/>
    </row>
    <row r="1014" spans="5:5" x14ac:dyDescent="0.35">
      <c r="E1014"/>
    </row>
    <row r="1015" spans="5:5" x14ac:dyDescent="0.35">
      <c r="E1015"/>
    </row>
    <row r="1016" spans="5:5" x14ac:dyDescent="0.35">
      <c r="E1016"/>
    </row>
    <row r="1017" spans="5:5" x14ac:dyDescent="0.35">
      <c r="E1017"/>
    </row>
    <row r="1018" spans="5:5" x14ac:dyDescent="0.35">
      <c r="E1018"/>
    </row>
    <row r="1019" spans="5:5" x14ac:dyDescent="0.35">
      <c r="E1019"/>
    </row>
    <row r="1020" spans="5:5" x14ac:dyDescent="0.35">
      <c r="E1020"/>
    </row>
    <row r="1021" spans="5:5" x14ac:dyDescent="0.35">
      <c r="E1021"/>
    </row>
    <row r="1022" spans="5:5" x14ac:dyDescent="0.35">
      <c r="E1022"/>
    </row>
    <row r="1023" spans="5:5" x14ac:dyDescent="0.35">
      <c r="E1023"/>
    </row>
    <row r="1024" spans="5:5" x14ac:dyDescent="0.35">
      <c r="E1024"/>
    </row>
    <row r="1025" spans="5:5" x14ac:dyDescent="0.35">
      <c r="E1025"/>
    </row>
    <row r="1026" spans="5:5" x14ac:dyDescent="0.35">
      <c r="E1026"/>
    </row>
    <row r="1027" spans="5:5" x14ac:dyDescent="0.35">
      <c r="E1027"/>
    </row>
    <row r="1028" spans="5:5" x14ac:dyDescent="0.35">
      <c r="E1028"/>
    </row>
    <row r="1029" spans="5:5" x14ac:dyDescent="0.35">
      <c r="E1029"/>
    </row>
    <row r="1030" spans="5:5" x14ac:dyDescent="0.35">
      <c r="E1030"/>
    </row>
    <row r="1031" spans="5:5" x14ac:dyDescent="0.35">
      <c r="E1031"/>
    </row>
    <row r="1032" spans="5:5" x14ac:dyDescent="0.35">
      <c r="E1032"/>
    </row>
    <row r="1033" spans="5:5" x14ac:dyDescent="0.35">
      <c r="E1033"/>
    </row>
    <row r="1034" spans="5:5" x14ac:dyDescent="0.35">
      <c r="E1034"/>
    </row>
    <row r="1035" spans="5:5" x14ac:dyDescent="0.35">
      <c r="E1035"/>
    </row>
    <row r="1036" spans="5:5" x14ac:dyDescent="0.35">
      <c r="E1036"/>
    </row>
    <row r="1037" spans="5:5" x14ac:dyDescent="0.35">
      <c r="E1037"/>
    </row>
    <row r="1038" spans="5:5" x14ac:dyDescent="0.35">
      <c r="E1038"/>
    </row>
    <row r="1039" spans="5:5" x14ac:dyDescent="0.35">
      <c r="E1039"/>
    </row>
    <row r="1040" spans="5:5" x14ac:dyDescent="0.35">
      <c r="E1040"/>
    </row>
    <row r="1041" spans="5:5" x14ac:dyDescent="0.35">
      <c r="E1041"/>
    </row>
    <row r="1042" spans="5:5" x14ac:dyDescent="0.35">
      <c r="E1042"/>
    </row>
    <row r="1043" spans="5:5" x14ac:dyDescent="0.35">
      <c r="E1043"/>
    </row>
    <row r="1044" spans="5:5" x14ac:dyDescent="0.35">
      <c r="E1044"/>
    </row>
    <row r="1045" spans="5:5" x14ac:dyDescent="0.35">
      <c r="E1045"/>
    </row>
    <row r="1046" spans="5:5" x14ac:dyDescent="0.35">
      <c r="E1046"/>
    </row>
    <row r="1047" spans="5:5" x14ac:dyDescent="0.35">
      <c r="E1047"/>
    </row>
    <row r="1048" spans="5:5" x14ac:dyDescent="0.35">
      <c r="E1048"/>
    </row>
    <row r="1049" spans="5:5" x14ac:dyDescent="0.35">
      <c r="E1049"/>
    </row>
    <row r="1050" spans="5:5" x14ac:dyDescent="0.35">
      <c r="E1050"/>
    </row>
    <row r="1051" spans="5:5" x14ac:dyDescent="0.35">
      <c r="E1051"/>
    </row>
    <row r="1052" spans="5:5" x14ac:dyDescent="0.35">
      <c r="E1052"/>
    </row>
    <row r="1053" spans="5:5" x14ac:dyDescent="0.35">
      <c r="E1053"/>
    </row>
    <row r="1054" spans="5:5" x14ac:dyDescent="0.35">
      <c r="E1054"/>
    </row>
    <row r="1055" spans="5:5" x14ac:dyDescent="0.35">
      <c r="E1055"/>
    </row>
    <row r="1056" spans="5:5" x14ac:dyDescent="0.35">
      <c r="E1056"/>
    </row>
    <row r="1057" spans="5:5" x14ac:dyDescent="0.35">
      <c r="E1057"/>
    </row>
    <row r="1058" spans="5:5" x14ac:dyDescent="0.35">
      <c r="E1058"/>
    </row>
    <row r="1059" spans="5:5" x14ac:dyDescent="0.35">
      <c r="E1059"/>
    </row>
    <row r="1060" spans="5:5" x14ac:dyDescent="0.35">
      <c r="E1060"/>
    </row>
    <row r="1061" spans="5:5" x14ac:dyDescent="0.35">
      <c r="E1061"/>
    </row>
    <row r="1062" spans="5:5" x14ac:dyDescent="0.35">
      <c r="E1062"/>
    </row>
    <row r="1063" spans="5:5" x14ac:dyDescent="0.35">
      <c r="E1063"/>
    </row>
    <row r="1064" spans="5:5" x14ac:dyDescent="0.35">
      <c r="E1064"/>
    </row>
    <row r="1065" spans="5:5" x14ac:dyDescent="0.35">
      <c r="E1065"/>
    </row>
    <row r="1066" spans="5:5" x14ac:dyDescent="0.35">
      <c r="E1066"/>
    </row>
    <row r="1067" spans="5:5" x14ac:dyDescent="0.35">
      <c r="E1067"/>
    </row>
    <row r="1068" spans="5:5" x14ac:dyDescent="0.35">
      <c r="E1068"/>
    </row>
    <row r="1069" spans="5:5" x14ac:dyDescent="0.35">
      <c r="E1069"/>
    </row>
    <row r="1070" spans="5:5" x14ac:dyDescent="0.35">
      <c r="E1070"/>
    </row>
    <row r="1071" spans="5:5" x14ac:dyDescent="0.35">
      <c r="E1071"/>
    </row>
    <row r="1072" spans="5:5" x14ac:dyDescent="0.35">
      <c r="E1072"/>
    </row>
    <row r="1073" spans="5:5" x14ac:dyDescent="0.35">
      <c r="E1073"/>
    </row>
    <row r="1074" spans="5:5" x14ac:dyDescent="0.35">
      <c r="E1074"/>
    </row>
    <row r="1075" spans="5:5" x14ac:dyDescent="0.35">
      <c r="E1075"/>
    </row>
    <row r="1076" spans="5:5" x14ac:dyDescent="0.35">
      <c r="E1076"/>
    </row>
    <row r="1077" spans="5:5" x14ac:dyDescent="0.35">
      <c r="E1077"/>
    </row>
    <row r="1078" spans="5:5" x14ac:dyDescent="0.35">
      <c r="E1078"/>
    </row>
    <row r="1079" spans="5:5" x14ac:dyDescent="0.35">
      <c r="E1079"/>
    </row>
    <row r="1080" spans="5:5" x14ac:dyDescent="0.35">
      <c r="E1080"/>
    </row>
    <row r="1081" spans="5:5" x14ac:dyDescent="0.35">
      <c r="E1081"/>
    </row>
    <row r="1082" spans="5:5" x14ac:dyDescent="0.35">
      <c r="E1082"/>
    </row>
    <row r="1083" spans="5:5" x14ac:dyDescent="0.35">
      <c r="E1083"/>
    </row>
    <row r="1084" spans="5:5" x14ac:dyDescent="0.35">
      <c r="E1084"/>
    </row>
    <row r="1085" spans="5:5" x14ac:dyDescent="0.35">
      <c r="E1085"/>
    </row>
    <row r="1086" spans="5:5" x14ac:dyDescent="0.35">
      <c r="E1086"/>
    </row>
    <row r="1087" spans="5:5" x14ac:dyDescent="0.35">
      <c r="E1087"/>
    </row>
    <row r="1088" spans="5:5" x14ac:dyDescent="0.35">
      <c r="E1088"/>
    </row>
    <row r="1089" spans="5:5" x14ac:dyDescent="0.35">
      <c r="E1089"/>
    </row>
    <row r="1090" spans="5:5" x14ac:dyDescent="0.35">
      <c r="E1090"/>
    </row>
    <row r="1091" spans="5:5" x14ac:dyDescent="0.35">
      <c r="E1091"/>
    </row>
    <row r="1092" spans="5:5" x14ac:dyDescent="0.35">
      <c r="E1092"/>
    </row>
    <row r="1093" spans="5:5" x14ac:dyDescent="0.35">
      <c r="E1093"/>
    </row>
    <row r="1094" spans="5:5" x14ac:dyDescent="0.35">
      <c r="E1094"/>
    </row>
    <row r="1095" spans="5:5" x14ac:dyDescent="0.35">
      <c r="E1095"/>
    </row>
    <row r="1096" spans="5:5" x14ac:dyDescent="0.35">
      <c r="E1096"/>
    </row>
    <row r="1097" spans="5:5" x14ac:dyDescent="0.35">
      <c r="E1097"/>
    </row>
    <row r="1098" spans="5:5" x14ac:dyDescent="0.35">
      <c r="E1098"/>
    </row>
    <row r="1099" spans="5:5" x14ac:dyDescent="0.35">
      <c r="E1099"/>
    </row>
    <row r="1100" spans="5:5" x14ac:dyDescent="0.35">
      <c r="E1100"/>
    </row>
    <row r="1101" spans="5:5" x14ac:dyDescent="0.35">
      <c r="E1101"/>
    </row>
    <row r="1102" spans="5:5" x14ac:dyDescent="0.35">
      <c r="E1102"/>
    </row>
    <row r="1103" spans="5:5" x14ac:dyDescent="0.35">
      <c r="E1103"/>
    </row>
    <row r="1104" spans="5:5" x14ac:dyDescent="0.35">
      <c r="E1104"/>
    </row>
    <row r="1105" spans="5:5" x14ac:dyDescent="0.35">
      <c r="E1105"/>
    </row>
    <row r="1106" spans="5:5" x14ac:dyDescent="0.35">
      <c r="E1106"/>
    </row>
    <row r="1107" spans="5:5" x14ac:dyDescent="0.35">
      <c r="E1107"/>
    </row>
    <row r="1108" spans="5:5" x14ac:dyDescent="0.35">
      <c r="E1108"/>
    </row>
    <row r="1109" spans="5:5" x14ac:dyDescent="0.35">
      <c r="E1109"/>
    </row>
    <row r="1110" spans="5:5" x14ac:dyDescent="0.35">
      <c r="E1110"/>
    </row>
    <row r="1111" spans="5:5" x14ac:dyDescent="0.35">
      <c r="E1111"/>
    </row>
    <row r="1112" spans="5:5" x14ac:dyDescent="0.35">
      <c r="E1112"/>
    </row>
    <row r="1113" spans="5:5" x14ac:dyDescent="0.35">
      <c r="E1113"/>
    </row>
    <row r="1114" spans="5:5" x14ac:dyDescent="0.35">
      <c r="E1114"/>
    </row>
    <row r="1115" spans="5:5" x14ac:dyDescent="0.35">
      <c r="E1115"/>
    </row>
    <row r="1116" spans="5:5" x14ac:dyDescent="0.35">
      <c r="E1116"/>
    </row>
    <row r="1117" spans="5:5" x14ac:dyDescent="0.35">
      <c r="E1117"/>
    </row>
    <row r="1118" spans="5:5" x14ac:dyDescent="0.35">
      <c r="E1118"/>
    </row>
    <row r="1119" spans="5:5" x14ac:dyDescent="0.35">
      <c r="E1119"/>
    </row>
    <row r="1120" spans="5:5" x14ac:dyDescent="0.35">
      <c r="E1120"/>
    </row>
    <row r="1121" spans="5:5" x14ac:dyDescent="0.35">
      <c r="E1121"/>
    </row>
    <row r="1122" spans="5:5" x14ac:dyDescent="0.35">
      <c r="E1122"/>
    </row>
    <row r="1123" spans="5:5" x14ac:dyDescent="0.35">
      <c r="E1123"/>
    </row>
    <row r="1124" spans="5:5" x14ac:dyDescent="0.35">
      <c r="E1124"/>
    </row>
    <row r="1125" spans="5:5" x14ac:dyDescent="0.35">
      <c r="E1125"/>
    </row>
    <row r="1126" spans="5:5" x14ac:dyDescent="0.35">
      <c r="E1126"/>
    </row>
    <row r="1127" spans="5:5" x14ac:dyDescent="0.35">
      <c r="E1127"/>
    </row>
    <row r="1128" spans="5:5" x14ac:dyDescent="0.35">
      <c r="E1128"/>
    </row>
    <row r="1129" spans="5:5" x14ac:dyDescent="0.35">
      <c r="E1129"/>
    </row>
    <row r="1130" spans="5:5" x14ac:dyDescent="0.35">
      <c r="E1130"/>
    </row>
    <row r="1131" spans="5:5" x14ac:dyDescent="0.35">
      <c r="E1131"/>
    </row>
    <row r="1132" spans="5:5" x14ac:dyDescent="0.35">
      <c r="E1132"/>
    </row>
    <row r="1133" spans="5:5" x14ac:dyDescent="0.35">
      <c r="E1133"/>
    </row>
    <row r="1134" spans="5:5" x14ac:dyDescent="0.35">
      <c r="E1134"/>
    </row>
    <row r="1135" spans="5:5" x14ac:dyDescent="0.35">
      <c r="E1135"/>
    </row>
    <row r="1136" spans="5:5" x14ac:dyDescent="0.35">
      <c r="E1136"/>
    </row>
    <row r="1137" spans="5:5" x14ac:dyDescent="0.35">
      <c r="E1137"/>
    </row>
    <row r="1138" spans="5:5" x14ac:dyDescent="0.35">
      <c r="E1138"/>
    </row>
    <row r="1139" spans="5:5" x14ac:dyDescent="0.35">
      <c r="E1139"/>
    </row>
    <row r="1140" spans="5:5" x14ac:dyDescent="0.35">
      <c r="E1140"/>
    </row>
    <row r="1141" spans="5:5" x14ac:dyDescent="0.35">
      <c r="E1141"/>
    </row>
    <row r="1142" spans="5:5" x14ac:dyDescent="0.35">
      <c r="E1142"/>
    </row>
    <row r="1143" spans="5:5" x14ac:dyDescent="0.35">
      <c r="E1143"/>
    </row>
    <row r="1144" spans="5:5" x14ac:dyDescent="0.35">
      <c r="E1144"/>
    </row>
    <row r="1145" spans="5:5" x14ac:dyDescent="0.35">
      <c r="E1145"/>
    </row>
    <row r="1146" spans="5:5" x14ac:dyDescent="0.35">
      <c r="E1146"/>
    </row>
    <row r="1147" spans="5:5" x14ac:dyDescent="0.35">
      <c r="E1147"/>
    </row>
    <row r="1148" spans="5:5" x14ac:dyDescent="0.35">
      <c r="E1148"/>
    </row>
    <row r="1149" spans="5:5" x14ac:dyDescent="0.35">
      <c r="E1149"/>
    </row>
    <row r="1150" spans="5:5" x14ac:dyDescent="0.35">
      <c r="E1150"/>
    </row>
    <row r="1151" spans="5:5" x14ac:dyDescent="0.35">
      <c r="E1151"/>
    </row>
    <row r="1152" spans="5:5" x14ac:dyDescent="0.35">
      <c r="E1152"/>
    </row>
    <row r="1153" spans="5:5" x14ac:dyDescent="0.35">
      <c r="E1153"/>
    </row>
    <row r="1154" spans="5:5" x14ac:dyDescent="0.35">
      <c r="E1154"/>
    </row>
    <row r="1155" spans="5:5" x14ac:dyDescent="0.35">
      <c r="E1155"/>
    </row>
    <row r="1156" spans="5:5" x14ac:dyDescent="0.35">
      <c r="E1156"/>
    </row>
    <row r="1157" spans="5:5" x14ac:dyDescent="0.35">
      <c r="E1157"/>
    </row>
    <row r="1158" spans="5:5" x14ac:dyDescent="0.35">
      <c r="E1158"/>
    </row>
    <row r="1159" spans="5:5" x14ac:dyDescent="0.35">
      <c r="E1159"/>
    </row>
    <row r="1160" spans="5:5" x14ac:dyDescent="0.35">
      <c r="E1160"/>
    </row>
    <row r="1161" spans="5:5" x14ac:dyDescent="0.35">
      <c r="E1161"/>
    </row>
    <row r="1162" spans="5:5" x14ac:dyDescent="0.35">
      <c r="E1162"/>
    </row>
    <row r="1163" spans="5:5" x14ac:dyDescent="0.35">
      <c r="E1163"/>
    </row>
    <row r="1164" spans="5:5" x14ac:dyDescent="0.35">
      <c r="E1164"/>
    </row>
    <row r="1165" spans="5:5" x14ac:dyDescent="0.35">
      <c r="E1165"/>
    </row>
    <row r="1166" spans="5:5" x14ac:dyDescent="0.35">
      <c r="E1166"/>
    </row>
    <row r="1167" spans="5:5" x14ac:dyDescent="0.35">
      <c r="E1167"/>
    </row>
    <row r="1168" spans="5:5" x14ac:dyDescent="0.35">
      <c r="E1168"/>
    </row>
    <row r="1169" spans="5:5" x14ac:dyDescent="0.35">
      <c r="E1169"/>
    </row>
    <row r="1170" spans="5:5" x14ac:dyDescent="0.35">
      <c r="E1170"/>
    </row>
    <row r="1171" spans="5:5" x14ac:dyDescent="0.35">
      <c r="E1171"/>
    </row>
    <row r="1172" spans="5:5" x14ac:dyDescent="0.35">
      <c r="E1172"/>
    </row>
    <row r="1173" spans="5:5" x14ac:dyDescent="0.35">
      <c r="E1173"/>
    </row>
    <row r="1174" spans="5:5" x14ac:dyDescent="0.35">
      <c r="E1174"/>
    </row>
    <row r="1175" spans="5:5" x14ac:dyDescent="0.35">
      <c r="E1175"/>
    </row>
    <row r="1176" spans="5:5" x14ac:dyDescent="0.35">
      <c r="E1176"/>
    </row>
    <row r="1177" spans="5:5" x14ac:dyDescent="0.35">
      <c r="E1177"/>
    </row>
    <row r="1178" spans="5:5" x14ac:dyDescent="0.35">
      <c r="E1178"/>
    </row>
    <row r="1179" spans="5:5" x14ac:dyDescent="0.35">
      <c r="E1179"/>
    </row>
    <row r="1180" spans="5:5" x14ac:dyDescent="0.35">
      <c r="E1180"/>
    </row>
    <row r="1181" spans="5:5" x14ac:dyDescent="0.35">
      <c r="E1181"/>
    </row>
    <row r="1182" spans="5:5" x14ac:dyDescent="0.35">
      <c r="E1182"/>
    </row>
    <row r="1183" spans="5:5" x14ac:dyDescent="0.35">
      <c r="E1183"/>
    </row>
    <row r="1184" spans="5:5" x14ac:dyDescent="0.35">
      <c r="E1184"/>
    </row>
    <row r="1185" spans="5:5" x14ac:dyDescent="0.35">
      <c r="E1185"/>
    </row>
  </sheetData>
  <mergeCells count="313">
    <mergeCell ref="A30:B30"/>
    <mergeCell ref="A31:B31"/>
    <mergeCell ref="A32:B32"/>
    <mergeCell ref="A33:B33"/>
    <mergeCell ref="A35:B35"/>
    <mergeCell ref="C35:E35"/>
    <mergeCell ref="A39:B39"/>
    <mergeCell ref="C39:E39"/>
    <mergeCell ref="A7:B7"/>
    <mergeCell ref="D7:E7"/>
    <mergeCell ref="A8:E8"/>
    <mergeCell ref="A9:B9"/>
    <mergeCell ref="B10:D10"/>
    <mergeCell ref="A11:A16"/>
    <mergeCell ref="A27:B27"/>
    <mergeCell ref="A28:B28"/>
    <mergeCell ref="A29:B29"/>
    <mergeCell ref="A1:B2"/>
    <mergeCell ref="A3:B3"/>
    <mergeCell ref="D3:E3"/>
    <mergeCell ref="A4:B4"/>
    <mergeCell ref="D4:E4"/>
    <mergeCell ref="A5:B5"/>
    <mergeCell ref="D5:E5"/>
    <mergeCell ref="A6:B6"/>
    <mergeCell ref="D6:E6"/>
    <mergeCell ref="A71:B71"/>
    <mergeCell ref="A72:B72"/>
    <mergeCell ref="A73:B73"/>
    <mergeCell ref="A74:B74"/>
    <mergeCell ref="A76:B76"/>
    <mergeCell ref="C76:E76"/>
    <mergeCell ref="A80:B80"/>
    <mergeCell ref="C80:E80"/>
    <mergeCell ref="A48:B48"/>
    <mergeCell ref="D48:E48"/>
    <mergeCell ref="A49:E49"/>
    <mergeCell ref="A50:B50"/>
    <mergeCell ref="B51:D51"/>
    <mergeCell ref="A52:A57"/>
    <mergeCell ref="A68:B68"/>
    <mergeCell ref="A69:B69"/>
    <mergeCell ref="A70:B70"/>
    <mergeCell ref="A42:B43"/>
    <mergeCell ref="A44:B44"/>
    <mergeCell ref="D44:E44"/>
    <mergeCell ref="A45:B45"/>
    <mergeCell ref="D45:E45"/>
    <mergeCell ref="A46:B46"/>
    <mergeCell ref="D46:E46"/>
    <mergeCell ref="A47:B47"/>
    <mergeCell ref="D47:E47"/>
    <mergeCell ref="A152:B152"/>
    <mergeCell ref="A153:B153"/>
    <mergeCell ref="A154:B154"/>
    <mergeCell ref="A155:B155"/>
    <mergeCell ref="A157:B157"/>
    <mergeCell ref="C157:E157"/>
    <mergeCell ref="A161:B161"/>
    <mergeCell ref="C161:E161"/>
    <mergeCell ref="A129:B129"/>
    <mergeCell ref="D129:E129"/>
    <mergeCell ref="A130:E130"/>
    <mergeCell ref="A131:B131"/>
    <mergeCell ref="B132:D132"/>
    <mergeCell ref="A133:A138"/>
    <mergeCell ref="A149:B149"/>
    <mergeCell ref="A150:B150"/>
    <mergeCell ref="A151:B151"/>
    <mergeCell ref="A124:B124"/>
    <mergeCell ref="A125:B125"/>
    <mergeCell ref="D125:E125"/>
    <mergeCell ref="A126:B126"/>
    <mergeCell ref="D126:E126"/>
    <mergeCell ref="A127:B127"/>
    <mergeCell ref="D127:E127"/>
    <mergeCell ref="A128:B128"/>
    <mergeCell ref="D128:E128"/>
    <mergeCell ref="A275:B275"/>
    <mergeCell ref="A276:B276"/>
    <mergeCell ref="A277:B277"/>
    <mergeCell ref="A278:B278"/>
    <mergeCell ref="A280:B280"/>
    <mergeCell ref="C280:E280"/>
    <mergeCell ref="A284:B284"/>
    <mergeCell ref="C284:E284"/>
    <mergeCell ref="A252:B252"/>
    <mergeCell ref="D252:E252"/>
    <mergeCell ref="A253:E253"/>
    <mergeCell ref="A254:B254"/>
    <mergeCell ref="B255:D255"/>
    <mergeCell ref="A256:A261"/>
    <mergeCell ref="A272:B272"/>
    <mergeCell ref="A273:B273"/>
    <mergeCell ref="A274:B274"/>
    <mergeCell ref="A246:B247"/>
    <mergeCell ref="A248:B248"/>
    <mergeCell ref="D248:E248"/>
    <mergeCell ref="A249:B249"/>
    <mergeCell ref="D249:E249"/>
    <mergeCell ref="A250:B250"/>
    <mergeCell ref="D250:E250"/>
    <mergeCell ref="A251:B251"/>
    <mergeCell ref="D251:E251"/>
    <mergeCell ref="A316:B316"/>
    <mergeCell ref="A317:B317"/>
    <mergeCell ref="A318:B318"/>
    <mergeCell ref="A319:B319"/>
    <mergeCell ref="A321:B321"/>
    <mergeCell ref="C321:E321"/>
    <mergeCell ref="A325:B325"/>
    <mergeCell ref="C325:E325"/>
    <mergeCell ref="A293:B293"/>
    <mergeCell ref="D293:E293"/>
    <mergeCell ref="A294:E294"/>
    <mergeCell ref="A295:B295"/>
    <mergeCell ref="B296:D296"/>
    <mergeCell ref="A297:A302"/>
    <mergeCell ref="A313:B313"/>
    <mergeCell ref="A314:B314"/>
    <mergeCell ref="A315:B315"/>
    <mergeCell ref="A287:B288"/>
    <mergeCell ref="A289:B289"/>
    <mergeCell ref="D289:E289"/>
    <mergeCell ref="A290:B290"/>
    <mergeCell ref="D290:E290"/>
    <mergeCell ref="A291:B291"/>
    <mergeCell ref="D291:E291"/>
    <mergeCell ref="A292:B292"/>
    <mergeCell ref="D292:E292"/>
    <mergeCell ref="A360:B360"/>
    <mergeCell ref="A362:B362"/>
    <mergeCell ref="C362:E362"/>
    <mergeCell ref="A366:B366"/>
    <mergeCell ref="C366:E366"/>
    <mergeCell ref="A355:B355"/>
    <mergeCell ref="A356:B356"/>
    <mergeCell ref="A357:B357"/>
    <mergeCell ref="A358:B358"/>
    <mergeCell ref="A359:B359"/>
    <mergeCell ref="A335:E335"/>
    <mergeCell ref="A336:B336"/>
    <mergeCell ref="B337:D337"/>
    <mergeCell ref="A338:A343"/>
    <mergeCell ref="A354:B354"/>
    <mergeCell ref="A332:B332"/>
    <mergeCell ref="D332:E332"/>
    <mergeCell ref="A333:B333"/>
    <mergeCell ref="D333:E333"/>
    <mergeCell ref="A334:B334"/>
    <mergeCell ref="D334:E334"/>
    <mergeCell ref="A328:B329"/>
    <mergeCell ref="A330:B330"/>
    <mergeCell ref="D330:E330"/>
    <mergeCell ref="A331:B331"/>
    <mergeCell ref="D331:E331"/>
    <mergeCell ref="A401:B401"/>
    <mergeCell ref="A403:B403"/>
    <mergeCell ref="C403:E403"/>
    <mergeCell ref="A407:B407"/>
    <mergeCell ref="C407:E407"/>
    <mergeCell ref="A396:B396"/>
    <mergeCell ref="A397:B397"/>
    <mergeCell ref="A398:B398"/>
    <mergeCell ref="A399:B399"/>
    <mergeCell ref="A400:B400"/>
    <mergeCell ref="A376:E376"/>
    <mergeCell ref="A377:B377"/>
    <mergeCell ref="B378:D378"/>
    <mergeCell ref="A379:A384"/>
    <mergeCell ref="A395:B395"/>
    <mergeCell ref="A373:B373"/>
    <mergeCell ref="D373:E373"/>
    <mergeCell ref="A374:B374"/>
    <mergeCell ref="D374:E374"/>
    <mergeCell ref="A375:B375"/>
    <mergeCell ref="D375:E375"/>
    <mergeCell ref="A369:B370"/>
    <mergeCell ref="A371:B371"/>
    <mergeCell ref="D371:E371"/>
    <mergeCell ref="A372:B372"/>
    <mergeCell ref="D372:E372"/>
    <mergeCell ref="A455:B455"/>
    <mergeCell ref="D455:E455"/>
    <mergeCell ref="A410:B411"/>
    <mergeCell ref="A440:B440"/>
    <mergeCell ref="A441:B441"/>
    <mergeCell ref="A442:B442"/>
    <mergeCell ref="A444:B444"/>
    <mergeCell ref="C444:E444"/>
    <mergeCell ref="A448:B448"/>
    <mergeCell ref="C448:E448"/>
    <mergeCell ref="A456:B456"/>
    <mergeCell ref="D456:E456"/>
    <mergeCell ref="A451:B451"/>
    <mergeCell ref="A452:B452"/>
    <mergeCell ref="A453:B453"/>
    <mergeCell ref="D453:E453"/>
    <mergeCell ref="A454:B454"/>
    <mergeCell ref="D454:E454"/>
    <mergeCell ref="A481:B481"/>
    <mergeCell ref="A457:B457"/>
    <mergeCell ref="D457:E457"/>
    <mergeCell ref="A459:B459"/>
    <mergeCell ref="B460:D460"/>
    <mergeCell ref="A461:A466"/>
    <mergeCell ref="A477:B477"/>
    <mergeCell ref="A478:B478"/>
    <mergeCell ref="A479:B479"/>
    <mergeCell ref="A480:B480"/>
    <mergeCell ref="A458:E458"/>
    <mergeCell ref="A482:B482"/>
    <mergeCell ref="A483:B483"/>
    <mergeCell ref="A485:B485"/>
    <mergeCell ref="C485:E485"/>
    <mergeCell ref="A489:B489"/>
    <mergeCell ref="C489:E489"/>
    <mergeCell ref="A412:B412"/>
    <mergeCell ref="D412:E412"/>
    <mergeCell ref="A413:B413"/>
    <mergeCell ref="D413:E413"/>
    <mergeCell ref="A414:B414"/>
    <mergeCell ref="D414:E414"/>
    <mergeCell ref="A415:B415"/>
    <mergeCell ref="D415:E415"/>
    <mergeCell ref="A416:B416"/>
    <mergeCell ref="D416:E416"/>
    <mergeCell ref="A417:E417"/>
    <mergeCell ref="A418:B418"/>
    <mergeCell ref="B419:D419"/>
    <mergeCell ref="A420:A425"/>
    <mergeCell ref="A436:B436"/>
    <mergeCell ref="A437:B437"/>
    <mergeCell ref="A438:B438"/>
    <mergeCell ref="A439:B439"/>
    <mergeCell ref="A243:B243"/>
    <mergeCell ref="C243:E243"/>
    <mergeCell ref="A211:B211"/>
    <mergeCell ref="D211:E211"/>
    <mergeCell ref="A212:E212"/>
    <mergeCell ref="A213:B213"/>
    <mergeCell ref="B214:D214"/>
    <mergeCell ref="A215:A220"/>
    <mergeCell ref="A231:B231"/>
    <mergeCell ref="A232:B232"/>
    <mergeCell ref="A233:B233"/>
    <mergeCell ref="A168:B168"/>
    <mergeCell ref="D168:E168"/>
    <mergeCell ref="A169:B169"/>
    <mergeCell ref="D169:E169"/>
    <mergeCell ref="A234:B234"/>
    <mergeCell ref="A235:B235"/>
    <mergeCell ref="A236:B236"/>
    <mergeCell ref="A237:B237"/>
    <mergeCell ref="A239:B239"/>
    <mergeCell ref="C239:E239"/>
    <mergeCell ref="A205:B206"/>
    <mergeCell ref="A207:B207"/>
    <mergeCell ref="D207:E207"/>
    <mergeCell ref="A208:B208"/>
    <mergeCell ref="D208:E208"/>
    <mergeCell ref="A209:B209"/>
    <mergeCell ref="D209:E209"/>
    <mergeCell ref="A210:B210"/>
    <mergeCell ref="D210:E210"/>
    <mergeCell ref="A88:B88"/>
    <mergeCell ref="D88:E88"/>
    <mergeCell ref="A193:B193"/>
    <mergeCell ref="A194:B194"/>
    <mergeCell ref="A195:B195"/>
    <mergeCell ref="A196:B196"/>
    <mergeCell ref="A198:B198"/>
    <mergeCell ref="C198:E198"/>
    <mergeCell ref="A202:B202"/>
    <mergeCell ref="C202:E202"/>
    <mergeCell ref="A170:B170"/>
    <mergeCell ref="D170:E170"/>
    <mergeCell ref="A171:E171"/>
    <mergeCell ref="A172:B172"/>
    <mergeCell ref="B173:D173"/>
    <mergeCell ref="A174:A179"/>
    <mergeCell ref="A190:B190"/>
    <mergeCell ref="A191:B191"/>
    <mergeCell ref="A192:B192"/>
    <mergeCell ref="A164:B165"/>
    <mergeCell ref="A166:B166"/>
    <mergeCell ref="D166:E166"/>
    <mergeCell ref="A167:B167"/>
    <mergeCell ref="D167:E167"/>
    <mergeCell ref="A112:B112"/>
    <mergeCell ref="A113:B113"/>
    <mergeCell ref="A114:B114"/>
    <mergeCell ref="A115:B115"/>
    <mergeCell ref="A117:B117"/>
    <mergeCell ref="C117:E117"/>
    <mergeCell ref="A121:B121"/>
    <mergeCell ref="C121:E121"/>
    <mergeCell ref="A83:B84"/>
    <mergeCell ref="A89:B89"/>
    <mergeCell ref="D89:E89"/>
    <mergeCell ref="A90:E90"/>
    <mergeCell ref="A91:B91"/>
    <mergeCell ref="B92:D92"/>
    <mergeCell ref="A93:A98"/>
    <mergeCell ref="A109:B109"/>
    <mergeCell ref="A110:B110"/>
    <mergeCell ref="A111:B111"/>
    <mergeCell ref="A85:B85"/>
    <mergeCell ref="D85:E85"/>
    <mergeCell ref="A86:B86"/>
    <mergeCell ref="D86:E86"/>
    <mergeCell ref="A87:B87"/>
    <mergeCell ref="D87:E87"/>
  </mergeCells>
  <hyperlinks>
    <hyperlink ref="A456" r:id="rId1" xr:uid="{56C53FE7-34E6-43FF-89E5-C794F701D16A}"/>
    <hyperlink ref="A415" r:id="rId2" display="www.biasbst.com" xr:uid="{9FF39D15-3339-4C39-BE5E-A66DDA0565F7}"/>
    <hyperlink ref="A416" r:id="rId3" xr:uid="{6F955E29-29DA-4179-B716-8CB4138D095B}"/>
    <hyperlink ref="A374" r:id="rId4" display="www.biasbst.com" xr:uid="{5CFCA256-A5E6-4777-907D-43F2E4FABBB0}"/>
    <hyperlink ref="A375" r:id="rId5" xr:uid="{6AE1EA64-2943-46FD-BD05-C3C62A9110B8}"/>
    <hyperlink ref="A333" r:id="rId6" display="www.biasbst.com" xr:uid="{926F78A5-6B75-446E-AC82-858926A93F85}"/>
    <hyperlink ref="A334" r:id="rId7" xr:uid="{7708C990-4020-44F4-B6E9-172703A9AEC3}"/>
    <hyperlink ref="A292" r:id="rId8" display="www.biasbst.com" xr:uid="{ACF71234-166A-4F10-B992-279B08354F68}"/>
    <hyperlink ref="A293" r:id="rId9" xr:uid="{0A6374DA-F636-45B8-95FD-27152E59ECD7}"/>
    <hyperlink ref="A251" r:id="rId10" display="www.biasbst.com" xr:uid="{5CD5DC9A-2195-487D-937C-4CDE0B73B38F}"/>
    <hyperlink ref="A252" r:id="rId11" xr:uid="{696F39CB-6C06-482E-A6D8-E8A23A901D17}"/>
    <hyperlink ref="A210" r:id="rId12" display="www.biasbst.com" xr:uid="{2642E9A0-9316-4930-9296-DEF9457CB9E8}"/>
    <hyperlink ref="A211" r:id="rId13" xr:uid="{4FED357F-742D-4F6A-840C-79BD895A897A}"/>
    <hyperlink ref="A169" r:id="rId14" display="www.biasbst.com" xr:uid="{66D603F9-CF5C-4F8D-A607-D723C24CD6FE}"/>
    <hyperlink ref="A170" r:id="rId15" xr:uid="{DE2FD5A3-3308-45B4-919A-3DFACBB8E762}"/>
    <hyperlink ref="A128" r:id="rId16" display="www.biasbst.com" xr:uid="{B2428EEA-9A65-485D-B879-2AC9939D6F5C}"/>
    <hyperlink ref="A129" r:id="rId17" xr:uid="{34535C6F-4E56-4B44-A51F-1D77CADE1CEE}"/>
    <hyperlink ref="A88" r:id="rId18" display="www.biasbst.com" xr:uid="{92581FB0-4C7C-4704-ABCD-C1FA3D488A12}"/>
    <hyperlink ref="A89" r:id="rId19" xr:uid="{B26D4672-30F2-4161-BD46-E3ABD028A005}"/>
    <hyperlink ref="A47" r:id="rId20" display="www.biasbst.com" xr:uid="{D7F1A1DA-ABE0-41AA-990D-C2B7EA77B99B}"/>
    <hyperlink ref="A48" r:id="rId21" xr:uid="{CDD200FC-ECCF-4F2C-ABCB-4CD87AF03888}"/>
    <hyperlink ref="A6" r:id="rId22" display="www.biasbst.com" xr:uid="{FB3BF1DF-3DC4-49DD-83CC-BDC029275732}"/>
    <hyperlink ref="A7" r:id="rId23" xr:uid="{C32FEECC-A571-44D1-975E-1DE9352F76E0}"/>
  </hyperlinks>
  <pageMargins left="0.7" right="0.7" top="0.75" bottom="0.75" header="0.3" footer="0.3"/>
  <pageSetup paperSize="9" fitToWidth="0" orientation="portrait" horizontalDpi="4294967293" verticalDpi="180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999"/>
  <sheetViews>
    <sheetView zoomScale="96" zoomScaleNormal="96" workbookViewId="0">
      <selection activeCell="I40" sqref="I40"/>
    </sheetView>
  </sheetViews>
  <sheetFormatPr defaultColWidth="9.1796875" defaultRowHeight="14.5" x14ac:dyDescent="0.35"/>
  <cols>
    <col min="1" max="1" width="4.1796875" customWidth="1"/>
    <col min="2" max="2" width="39.1796875" customWidth="1"/>
    <col min="3" max="3" width="7.453125" customWidth="1"/>
    <col min="4" max="4" width="13" customWidth="1"/>
    <col min="5" max="5" width="24.7265625" style="50" customWidth="1"/>
    <col min="9" max="9" width="15.26953125" customWidth="1"/>
  </cols>
  <sheetData>
    <row r="1" spans="1:5" ht="15.5" thickTop="1" thickBot="1" x14ac:dyDescent="0.4">
      <c r="A1" s="266" t="s">
        <v>1</v>
      </c>
      <c r="B1" s="267"/>
      <c r="C1" s="3"/>
      <c r="D1" s="116" t="s">
        <v>0</v>
      </c>
      <c r="E1" s="112" t="s">
        <v>197</v>
      </c>
    </row>
    <row r="2" spans="1:5" ht="15.5" thickTop="1" thickBot="1" x14ac:dyDescent="0.4">
      <c r="A2" s="254"/>
      <c r="B2" s="255"/>
      <c r="C2" s="3"/>
      <c r="D2" s="115" t="s">
        <v>2</v>
      </c>
      <c r="E2" s="114">
        <v>46007</v>
      </c>
    </row>
    <row r="3" spans="1:5" ht="15.5" thickTop="1" thickBot="1" x14ac:dyDescent="0.4">
      <c r="A3" s="256" t="s">
        <v>104</v>
      </c>
      <c r="B3" s="257"/>
      <c r="C3" s="3"/>
      <c r="D3" s="117" t="s">
        <v>4</v>
      </c>
      <c r="E3" s="118"/>
    </row>
    <row r="4" spans="1:5" ht="15.5" thickTop="1" thickBot="1" x14ac:dyDescent="0.4">
      <c r="A4" s="256" t="s">
        <v>77</v>
      </c>
      <c r="B4" s="257"/>
      <c r="C4" s="3"/>
      <c r="D4" s="119" t="s">
        <v>37</v>
      </c>
      <c r="E4" s="118"/>
    </row>
    <row r="5" spans="1:5" ht="15.5" thickTop="1" thickBot="1" x14ac:dyDescent="0.4">
      <c r="A5" s="256" t="s">
        <v>78</v>
      </c>
      <c r="B5" s="257"/>
      <c r="C5" s="3"/>
      <c r="D5" s="120" t="s">
        <v>38</v>
      </c>
      <c r="E5" s="121"/>
    </row>
    <row r="6" spans="1:5" ht="15.5" thickTop="1" thickBot="1" x14ac:dyDescent="0.4">
      <c r="A6" s="243" t="s">
        <v>11</v>
      </c>
      <c r="B6" s="244"/>
      <c r="D6" s="122" t="s">
        <v>39</v>
      </c>
      <c r="E6" s="123"/>
    </row>
    <row r="7" spans="1:5" ht="15.5" thickTop="1" thickBot="1" x14ac:dyDescent="0.4">
      <c r="A7" s="219" t="s">
        <v>79</v>
      </c>
      <c r="B7" s="220"/>
      <c r="C7" s="3"/>
      <c r="D7" s="117" t="s">
        <v>40</v>
      </c>
      <c r="E7" s="118"/>
    </row>
    <row r="8" spans="1:5" ht="15" thickTop="1" x14ac:dyDescent="0.35">
      <c r="A8" s="13"/>
      <c r="B8" s="13"/>
      <c r="C8" s="3"/>
      <c r="D8" s="14"/>
      <c r="E8" s="14"/>
    </row>
    <row r="9" spans="1:5" ht="29.5" x14ac:dyDescent="0.55000000000000004">
      <c r="A9" s="223" t="s">
        <v>87</v>
      </c>
      <c r="B9" s="223"/>
      <c r="C9" s="223"/>
      <c r="D9" s="223"/>
      <c r="E9" s="223"/>
    </row>
    <row r="10" spans="1:5" ht="15" thickBot="1" x14ac:dyDescent="0.4">
      <c r="A10" s="224" t="s">
        <v>195</v>
      </c>
      <c r="B10" s="224"/>
      <c r="C10" s="3"/>
      <c r="D10" s="3"/>
      <c r="E10" s="15"/>
    </row>
    <row r="11" spans="1:5" ht="15.5" thickTop="1" thickBot="1" x14ac:dyDescent="0.4">
      <c r="A11" s="16" t="s">
        <v>14</v>
      </c>
      <c r="B11" s="69" t="s">
        <v>15</v>
      </c>
      <c r="C11" s="70"/>
      <c r="D11" s="79"/>
      <c r="E11" s="17" t="s">
        <v>16</v>
      </c>
    </row>
    <row r="12" spans="1:5" ht="15" thickTop="1" x14ac:dyDescent="0.35">
      <c r="A12" s="71">
        <v>1</v>
      </c>
      <c r="B12" s="19" t="s">
        <v>49</v>
      </c>
      <c r="C12" s="20"/>
      <c r="D12" s="20"/>
      <c r="E12" s="21">
        <v>2500000</v>
      </c>
    </row>
    <row r="13" spans="1:5" x14ac:dyDescent="0.35">
      <c r="A13" s="72"/>
      <c r="B13" s="53" t="s">
        <v>44</v>
      </c>
      <c r="C13" s="34"/>
      <c r="D13" s="34"/>
      <c r="E13" s="25"/>
    </row>
    <row r="14" spans="1:5" x14ac:dyDescent="0.35">
      <c r="A14" s="72"/>
      <c r="B14" s="53" t="s">
        <v>41</v>
      </c>
      <c r="C14" s="34"/>
      <c r="D14" s="34"/>
      <c r="E14" s="25"/>
    </row>
    <row r="15" spans="1:5" x14ac:dyDescent="0.35">
      <c r="A15" s="72"/>
      <c r="B15" s="22" t="s">
        <v>18</v>
      </c>
      <c r="C15" s="52">
        <f>'Meterading 2025'!B36</f>
        <v>76876</v>
      </c>
      <c r="D15" s="24"/>
      <c r="E15" s="25"/>
    </row>
    <row r="16" spans="1:5" ht="15" x14ac:dyDescent="0.4">
      <c r="A16" s="72"/>
      <c r="B16" s="22" t="s">
        <v>19</v>
      </c>
      <c r="C16" s="26">
        <f>'Meterading 2025'!C36</f>
        <v>77782</v>
      </c>
      <c r="D16" s="27" t="s">
        <v>20</v>
      </c>
      <c r="E16" s="25"/>
    </row>
    <row r="17" spans="1:5" ht="15" thickBot="1" x14ac:dyDescent="0.4">
      <c r="A17" s="80"/>
      <c r="B17" s="22" t="s">
        <v>21</v>
      </c>
      <c r="C17" s="67">
        <f>+C16-C15</f>
        <v>906</v>
      </c>
      <c r="D17" s="27"/>
      <c r="E17" s="25"/>
    </row>
    <row r="18" spans="1:5" ht="15" thickTop="1" x14ac:dyDescent="0.35">
      <c r="A18" s="18"/>
      <c r="B18" s="19" t="s">
        <v>42</v>
      </c>
      <c r="C18" s="20"/>
      <c r="D18" s="20"/>
      <c r="E18" s="21"/>
    </row>
    <row r="19" spans="1:5" x14ac:dyDescent="0.35">
      <c r="A19" s="28"/>
      <c r="B19" s="22" t="s">
        <v>18</v>
      </c>
      <c r="C19" s="23">
        <f>'Meterading 2025'!F36</f>
        <v>12943</v>
      </c>
      <c r="D19" s="24"/>
      <c r="E19" s="25"/>
    </row>
    <row r="20" spans="1:5" ht="15" x14ac:dyDescent="0.4">
      <c r="A20" s="28"/>
      <c r="B20" s="22" t="s">
        <v>19</v>
      </c>
      <c r="C20" s="26">
        <f>'Meterading 2025'!G36</f>
        <v>13475</v>
      </c>
      <c r="D20" s="27" t="s">
        <v>20</v>
      </c>
      <c r="E20" s="25"/>
    </row>
    <row r="21" spans="1:5" x14ac:dyDescent="0.35">
      <c r="A21" s="28"/>
      <c r="B21" s="22" t="s">
        <v>21</v>
      </c>
      <c r="C21" s="67">
        <f>+C20-C19</f>
        <v>532</v>
      </c>
      <c r="D21" s="27"/>
      <c r="E21" s="25"/>
    </row>
    <row r="22" spans="1:5" ht="15" x14ac:dyDescent="0.4">
      <c r="A22" s="28"/>
      <c r="B22" s="22" t="s">
        <v>22</v>
      </c>
      <c r="C22" s="26">
        <v>200</v>
      </c>
      <c r="D22" s="27" t="s">
        <v>20</v>
      </c>
      <c r="E22" s="25"/>
    </row>
    <row r="23" spans="1:5" x14ac:dyDescent="0.35">
      <c r="A23" s="28"/>
      <c r="B23" s="22" t="s">
        <v>21</v>
      </c>
      <c r="C23" s="92">
        <f>+C21-C22</f>
        <v>332</v>
      </c>
      <c r="D23" s="27"/>
      <c r="E23" s="25"/>
    </row>
    <row r="24" spans="1:5" ht="15" thickBot="1" x14ac:dyDescent="0.4">
      <c r="A24" s="55"/>
      <c r="B24" s="56"/>
      <c r="C24" s="57"/>
      <c r="D24" s="58"/>
      <c r="E24" s="59"/>
    </row>
    <row r="25" spans="1:5" ht="15.5" thickTop="1" thickBot="1" x14ac:dyDescent="0.4">
      <c r="A25" s="29">
        <v>2</v>
      </c>
      <c r="B25" s="30" t="s">
        <v>23</v>
      </c>
      <c r="C25" s="31" t="s">
        <v>24</v>
      </c>
      <c r="D25" s="32">
        <v>150</v>
      </c>
      <c r="E25" s="54">
        <f>C17*D25</f>
        <v>135900</v>
      </c>
    </row>
    <row r="26" spans="1:5" ht="15.5" thickTop="1" thickBot="1" x14ac:dyDescent="0.4">
      <c r="A26" s="29">
        <v>3</v>
      </c>
      <c r="B26" s="30" t="s">
        <v>43</v>
      </c>
      <c r="C26" s="31" t="s">
        <v>24</v>
      </c>
      <c r="D26" s="32">
        <v>1300</v>
      </c>
      <c r="E26" s="54">
        <f>+C23*D26</f>
        <v>431600</v>
      </c>
    </row>
    <row r="27" spans="1:5" ht="15.5" thickTop="1" thickBot="1" x14ac:dyDescent="0.4">
      <c r="A27" s="34"/>
      <c r="B27" s="34"/>
      <c r="C27" s="34"/>
      <c r="D27" s="86" t="s">
        <v>25</v>
      </c>
      <c r="E27" s="54">
        <f>+E26+E25+E12</f>
        <v>3067500</v>
      </c>
    </row>
    <row r="28" spans="1:5" ht="18" thickTop="1" thickBot="1" x14ac:dyDescent="0.45">
      <c r="A28" s="231" t="s">
        <v>26</v>
      </c>
      <c r="B28" s="232"/>
      <c r="C28" s="34"/>
      <c r="D28" s="86" t="s">
        <v>27</v>
      </c>
      <c r="E28" s="84">
        <v>0</v>
      </c>
    </row>
    <row r="29" spans="1:5" ht="18" thickTop="1" thickBot="1" x14ac:dyDescent="0.45">
      <c r="A29" s="233" t="s">
        <v>45</v>
      </c>
      <c r="B29" s="234"/>
      <c r="C29" s="41"/>
      <c r="D29" s="86" t="s">
        <v>29</v>
      </c>
      <c r="E29" s="85">
        <f>(E27+E28)</f>
        <v>3067500</v>
      </c>
    </row>
    <row r="30" spans="1:5" ht="17.5" thickTop="1" x14ac:dyDescent="0.4">
      <c r="A30" s="235" t="s">
        <v>142</v>
      </c>
      <c r="B30" s="236"/>
      <c r="C30" s="41"/>
      <c r="D30" s="35"/>
      <c r="E30" s="87"/>
    </row>
    <row r="31" spans="1:5" ht="17" x14ac:dyDescent="0.4">
      <c r="A31" s="205" t="s">
        <v>80</v>
      </c>
      <c r="B31" s="206"/>
      <c r="C31" s="41"/>
      <c r="D31" s="35"/>
      <c r="E31" s="87"/>
    </row>
    <row r="32" spans="1:5" ht="17" x14ac:dyDescent="0.4">
      <c r="A32" s="205" t="s">
        <v>81</v>
      </c>
      <c r="B32" s="206"/>
      <c r="C32" s="41"/>
      <c r="D32" s="35"/>
      <c r="E32" s="87"/>
    </row>
    <row r="33" spans="1:5" x14ac:dyDescent="0.35">
      <c r="A33" s="207" t="s">
        <v>28</v>
      </c>
      <c r="B33" s="208"/>
      <c r="C33" s="3"/>
      <c r="D33" s="3"/>
      <c r="E33" s="15"/>
    </row>
    <row r="34" spans="1:5" ht="15" thickBot="1" x14ac:dyDescent="0.4">
      <c r="A34" s="209" t="s">
        <v>30</v>
      </c>
      <c r="B34" s="210"/>
      <c r="C34" s="3"/>
      <c r="D34" s="3"/>
      <c r="E34" s="15"/>
    </row>
    <row r="35" spans="1:5" ht="15" thickTop="1" x14ac:dyDescent="0.35">
      <c r="A35" s="48"/>
      <c r="B35" s="49"/>
      <c r="C35" s="3"/>
      <c r="D35" s="3"/>
      <c r="E35" s="47"/>
    </row>
    <row r="36" spans="1:5" x14ac:dyDescent="0.35">
      <c r="A36" s="211" t="s">
        <v>33</v>
      </c>
      <c r="B36" s="211"/>
      <c r="C36" s="211" t="s">
        <v>1</v>
      </c>
      <c r="D36" s="211"/>
      <c r="E36" s="211"/>
    </row>
    <row r="40" spans="1:5" x14ac:dyDescent="0.35">
      <c r="A40" s="212" t="s">
        <v>34</v>
      </c>
      <c r="B40" s="212"/>
      <c r="C40" s="213" t="s">
        <v>149</v>
      </c>
      <c r="D40" s="213"/>
      <c r="E40" s="213"/>
    </row>
    <row r="41" spans="1:5" x14ac:dyDescent="0.35">
      <c r="D41" s="60" t="s">
        <v>154</v>
      </c>
      <c r="E41" s="51"/>
    </row>
    <row r="42" spans="1:5" ht="15" thickBot="1" x14ac:dyDescent="0.4">
      <c r="D42" s="60"/>
      <c r="E42" s="51"/>
    </row>
    <row r="43" spans="1:5" ht="15.5" thickTop="1" thickBot="1" x14ac:dyDescent="0.4">
      <c r="A43" s="266" t="s">
        <v>1</v>
      </c>
      <c r="B43" s="267"/>
      <c r="C43" s="3"/>
      <c r="D43" s="116" t="s">
        <v>0</v>
      </c>
      <c r="E43" s="112" t="s">
        <v>190</v>
      </c>
    </row>
    <row r="44" spans="1:5" ht="15.5" thickTop="1" thickBot="1" x14ac:dyDescent="0.4">
      <c r="A44" s="254"/>
      <c r="B44" s="255"/>
      <c r="C44" s="3"/>
      <c r="D44" s="115" t="s">
        <v>2</v>
      </c>
      <c r="E44" s="114">
        <v>45992</v>
      </c>
    </row>
    <row r="45" spans="1:5" ht="15.5" thickTop="1" thickBot="1" x14ac:dyDescent="0.4">
      <c r="A45" s="256" t="s">
        <v>104</v>
      </c>
      <c r="B45" s="257"/>
      <c r="C45" s="3"/>
      <c r="D45" s="117" t="s">
        <v>4</v>
      </c>
      <c r="E45" s="118"/>
    </row>
    <row r="46" spans="1:5" ht="15.5" thickTop="1" thickBot="1" x14ac:dyDescent="0.4">
      <c r="A46" s="256" t="s">
        <v>77</v>
      </c>
      <c r="B46" s="257"/>
      <c r="C46" s="3"/>
      <c r="D46" s="119" t="s">
        <v>37</v>
      </c>
      <c r="E46" s="118"/>
    </row>
    <row r="47" spans="1:5" ht="15.5" thickTop="1" thickBot="1" x14ac:dyDescent="0.4">
      <c r="A47" s="256" t="s">
        <v>78</v>
      </c>
      <c r="B47" s="257"/>
      <c r="C47" s="3"/>
      <c r="D47" s="120" t="s">
        <v>38</v>
      </c>
      <c r="E47" s="121"/>
    </row>
    <row r="48" spans="1:5" ht="15.5" thickTop="1" thickBot="1" x14ac:dyDescent="0.4">
      <c r="A48" s="243" t="s">
        <v>11</v>
      </c>
      <c r="B48" s="244"/>
      <c r="D48" s="122" t="s">
        <v>39</v>
      </c>
      <c r="E48" s="123"/>
    </row>
    <row r="49" spans="1:5" ht="15.5" thickTop="1" thickBot="1" x14ac:dyDescent="0.4">
      <c r="A49" s="219" t="s">
        <v>79</v>
      </c>
      <c r="B49" s="220"/>
      <c r="C49" s="3"/>
      <c r="D49" s="117" t="s">
        <v>40</v>
      </c>
      <c r="E49" s="118"/>
    </row>
    <row r="50" spans="1:5" ht="15" thickTop="1" x14ac:dyDescent="0.35">
      <c r="A50" s="13"/>
      <c r="B50" s="13"/>
      <c r="C50" s="3"/>
      <c r="D50" s="14"/>
      <c r="E50" s="14"/>
    </row>
    <row r="51" spans="1:5" ht="29.5" x14ac:dyDescent="0.55000000000000004">
      <c r="A51" s="223" t="s">
        <v>87</v>
      </c>
      <c r="B51" s="223"/>
      <c r="C51" s="223"/>
      <c r="D51" s="223"/>
      <c r="E51" s="223"/>
    </row>
    <row r="52" spans="1:5" ht="15" thickBot="1" x14ac:dyDescent="0.4">
      <c r="A52" s="224" t="s">
        <v>194</v>
      </c>
      <c r="B52" s="224"/>
      <c r="C52" s="3"/>
      <c r="D52" s="3"/>
      <c r="E52" s="15"/>
    </row>
    <row r="53" spans="1:5" ht="15.5" thickTop="1" thickBot="1" x14ac:dyDescent="0.4">
      <c r="A53" s="16" t="s">
        <v>14</v>
      </c>
      <c r="B53" s="69" t="s">
        <v>15</v>
      </c>
      <c r="C53" s="70"/>
      <c r="D53" s="79"/>
      <c r="E53" s="17" t="s">
        <v>16</v>
      </c>
    </row>
    <row r="54" spans="1:5" ht="15" thickTop="1" x14ac:dyDescent="0.35">
      <c r="A54" s="71">
        <v>1</v>
      </c>
      <c r="B54" s="19" t="s">
        <v>49</v>
      </c>
      <c r="C54" s="20"/>
      <c r="D54" s="20"/>
      <c r="E54" s="21">
        <v>2500000</v>
      </c>
    </row>
    <row r="55" spans="1:5" x14ac:dyDescent="0.35">
      <c r="A55" s="72"/>
      <c r="B55" s="53" t="s">
        <v>44</v>
      </c>
      <c r="C55" s="34"/>
      <c r="D55" s="34"/>
      <c r="E55" s="25"/>
    </row>
    <row r="56" spans="1:5" x14ac:dyDescent="0.35">
      <c r="A56" s="72"/>
      <c r="B56" s="53" t="s">
        <v>41</v>
      </c>
      <c r="C56" s="34"/>
      <c r="D56" s="34"/>
      <c r="E56" s="25"/>
    </row>
    <row r="57" spans="1:5" x14ac:dyDescent="0.35">
      <c r="A57" s="72"/>
      <c r="B57" s="22" t="s">
        <v>18</v>
      </c>
      <c r="C57" s="52">
        <f>'Meterading 2025'!B35</f>
        <v>75838</v>
      </c>
      <c r="D57" s="24"/>
      <c r="E57" s="25"/>
    </row>
    <row r="58" spans="1:5" ht="15" x14ac:dyDescent="0.4">
      <c r="A58" s="72"/>
      <c r="B58" s="22" t="s">
        <v>19</v>
      </c>
      <c r="C58" s="26">
        <f>'Meterading 2025'!C35</f>
        <v>76876</v>
      </c>
      <c r="D58" s="27" t="s">
        <v>20</v>
      </c>
      <c r="E58" s="25"/>
    </row>
    <row r="59" spans="1:5" ht="15" thickBot="1" x14ac:dyDescent="0.4">
      <c r="A59" s="80"/>
      <c r="B59" s="22" t="s">
        <v>21</v>
      </c>
      <c r="C59" s="67">
        <f>+C58-C57</f>
        <v>1038</v>
      </c>
      <c r="D59" s="27"/>
      <c r="E59" s="25"/>
    </row>
    <row r="60" spans="1:5" ht="15" thickTop="1" x14ac:dyDescent="0.35">
      <c r="A60" s="18"/>
      <c r="B60" s="19" t="s">
        <v>42</v>
      </c>
      <c r="C60" s="20"/>
      <c r="D60" s="20"/>
      <c r="E60" s="21"/>
    </row>
    <row r="61" spans="1:5" x14ac:dyDescent="0.35">
      <c r="A61" s="28"/>
      <c r="B61" s="22" t="s">
        <v>18</v>
      </c>
      <c r="C61" s="23">
        <f>'Meterading 2025'!F35</f>
        <v>12214</v>
      </c>
      <c r="D61" s="24"/>
      <c r="E61" s="25"/>
    </row>
    <row r="62" spans="1:5" ht="15" x14ac:dyDescent="0.4">
      <c r="A62" s="28"/>
      <c r="B62" s="22" t="s">
        <v>19</v>
      </c>
      <c r="C62" s="26">
        <f>'Meterading 2025'!G35</f>
        <v>12943</v>
      </c>
      <c r="D62" s="27" t="s">
        <v>20</v>
      </c>
      <c r="E62" s="25"/>
    </row>
    <row r="63" spans="1:5" x14ac:dyDescent="0.35">
      <c r="A63" s="28"/>
      <c r="B63" s="22" t="s">
        <v>21</v>
      </c>
      <c r="C63" s="67">
        <f>+C62-C61</f>
        <v>729</v>
      </c>
      <c r="D63" s="27"/>
      <c r="E63" s="25"/>
    </row>
    <row r="64" spans="1:5" ht="15" x14ac:dyDescent="0.4">
      <c r="A64" s="28"/>
      <c r="B64" s="22" t="s">
        <v>22</v>
      </c>
      <c r="C64" s="26">
        <v>200</v>
      </c>
      <c r="D64" s="27" t="s">
        <v>20</v>
      </c>
      <c r="E64" s="25"/>
    </row>
    <row r="65" spans="1:5" x14ac:dyDescent="0.35">
      <c r="A65" s="28"/>
      <c r="B65" s="22" t="s">
        <v>21</v>
      </c>
      <c r="C65" s="92">
        <f>+C63-C64</f>
        <v>529</v>
      </c>
      <c r="D65" s="27"/>
      <c r="E65" s="25"/>
    </row>
    <row r="66" spans="1:5" ht="15" thickBot="1" x14ac:dyDescent="0.4">
      <c r="A66" s="55"/>
      <c r="B66" s="56"/>
      <c r="C66" s="57"/>
      <c r="D66" s="58"/>
      <c r="E66" s="59"/>
    </row>
    <row r="67" spans="1:5" ht="15.5" thickTop="1" thickBot="1" x14ac:dyDescent="0.4">
      <c r="A67" s="29">
        <v>2</v>
      </c>
      <c r="B67" s="30" t="s">
        <v>23</v>
      </c>
      <c r="C67" s="31" t="s">
        <v>24</v>
      </c>
      <c r="D67" s="32">
        <v>150</v>
      </c>
      <c r="E67" s="54">
        <f>C59*D67</f>
        <v>155700</v>
      </c>
    </row>
    <row r="68" spans="1:5" ht="15.5" thickTop="1" thickBot="1" x14ac:dyDescent="0.4">
      <c r="A68" s="29">
        <v>3</v>
      </c>
      <c r="B68" s="30" t="s">
        <v>43</v>
      </c>
      <c r="C68" s="31" t="s">
        <v>24</v>
      </c>
      <c r="D68" s="32">
        <v>1300</v>
      </c>
      <c r="E68" s="54">
        <f>+C65*D68</f>
        <v>687700</v>
      </c>
    </row>
    <row r="69" spans="1:5" ht="15.5" thickTop="1" thickBot="1" x14ac:dyDescent="0.4">
      <c r="A69" s="34"/>
      <c r="B69" s="34"/>
      <c r="C69" s="34"/>
      <c r="D69" s="86" t="s">
        <v>25</v>
      </c>
      <c r="E69" s="54">
        <f>+E68+E67+E54</f>
        <v>3343400</v>
      </c>
    </row>
    <row r="70" spans="1:5" ht="18" thickTop="1" thickBot="1" x14ac:dyDescent="0.45">
      <c r="A70" s="231" t="s">
        <v>26</v>
      </c>
      <c r="B70" s="232"/>
      <c r="C70" s="34"/>
      <c r="D70" s="86" t="s">
        <v>27</v>
      </c>
      <c r="E70" s="84">
        <v>0</v>
      </c>
    </row>
    <row r="71" spans="1:5" ht="18" thickTop="1" thickBot="1" x14ac:dyDescent="0.45">
      <c r="A71" s="233" t="s">
        <v>45</v>
      </c>
      <c r="B71" s="234"/>
      <c r="C71" s="41"/>
      <c r="D71" s="86" t="s">
        <v>29</v>
      </c>
      <c r="E71" s="85">
        <f>(E69+E70)</f>
        <v>3343400</v>
      </c>
    </row>
    <row r="72" spans="1:5" ht="17.5" thickTop="1" x14ac:dyDescent="0.4">
      <c r="A72" s="235" t="s">
        <v>142</v>
      </c>
      <c r="B72" s="236"/>
      <c r="C72" s="41"/>
      <c r="D72" s="35"/>
      <c r="E72" s="87"/>
    </row>
    <row r="73" spans="1:5" ht="17" x14ac:dyDescent="0.4">
      <c r="A73" s="205" t="s">
        <v>80</v>
      </c>
      <c r="B73" s="206"/>
      <c r="C73" s="41"/>
      <c r="D73" s="35"/>
      <c r="E73" s="87"/>
    </row>
    <row r="74" spans="1:5" ht="17" x14ac:dyDescent="0.4">
      <c r="A74" s="205" t="s">
        <v>81</v>
      </c>
      <c r="B74" s="206"/>
      <c r="C74" s="41"/>
      <c r="D74" s="35"/>
      <c r="E74" s="87"/>
    </row>
    <row r="75" spans="1:5" x14ac:dyDescent="0.35">
      <c r="A75" s="207" t="s">
        <v>28</v>
      </c>
      <c r="B75" s="208"/>
      <c r="C75" s="3"/>
      <c r="D75" s="3"/>
      <c r="E75" s="15"/>
    </row>
    <row r="76" spans="1:5" ht="15" thickBot="1" x14ac:dyDescent="0.4">
      <c r="A76" s="209" t="s">
        <v>30</v>
      </c>
      <c r="B76" s="210"/>
      <c r="C76" s="3"/>
      <c r="D76" s="3"/>
      <c r="E76" s="15"/>
    </row>
    <row r="77" spans="1:5" ht="15" thickTop="1" x14ac:dyDescent="0.35">
      <c r="A77" s="48"/>
      <c r="B77" s="49"/>
      <c r="C77" s="3"/>
      <c r="D77" s="3"/>
      <c r="E77" s="47"/>
    </row>
    <row r="78" spans="1:5" x14ac:dyDescent="0.35">
      <c r="A78" s="211" t="s">
        <v>33</v>
      </c>
      <c r="B78" s="211"/>
      <c r="C78" s="211" t="s">
        <v>1</v>
      </c>
      <c r="D78" s="211"/>
      <c r="E78" s="211"/>
    </row>
    <row r="82" spans="1:5" x14ac:dyDescent="0.35">
      <c r="A82" s="212" t="s">
        <v>34</v>
      </c>
      <c r="B82" s="212"/>
      <c r="C82" s="213" t="s">
        <v>149</v>
      </c>
      <c r="D82" s="213"/>
      <c r="E82" s="213"/>
    </row>
    <row r="83" spans="1:5" x14ac:dyDescent="0.35">
      <c r="D83" s="60" t="s">
        <v>154</v>
      </c>
      <c r="E83" s="51"/>
    </row>
    <row r="84" spans="1:5" ht="15" thickBot="1" x14ac:dyDescent="0.4">
      <c r="D84" s="60"/>
      <c r="E84" s="51"/>
    </row>
    <row r="85" spans="1:5" ht="15.5" thickTop="1" thickBot="1" x14ac:dyDescent="0.4">
      <c r="A85" s="266" t="s">
        <v>1</v>
      </c>
      <c r="B85" s="267"/>
      <c r="C85" s="3"/>
      <c r="D85" s="116" t="s">
        <v>0</v>
      </c>
      <c r="E85" s="112" t="s">
        <v>164</v>
      </c>
    </row>
    <row r="86" spans="1:5" ht="15.5" thickTop="1" thickBot="1" x14ac:dyDescent="0.4">
      <c r="A86" s="254"/>
      <c r="B86" s="255"/>
      <c r="C86" s="3"/>
      <c r="D86" s="115" t="s">
        <v>2</v>
      </c>
      <c r="E86" s="114">
        <v>45964</v>
      </c>
    </row>
    <row r="87" spans="1:5" ht="15.5" thickTop="1" thickBot="1" x14ac:dyDescent="0.4">
      <c r="A87" s="256" t="s">
        <v>104</v>
      </c>
      <c r="B87" s="257"/>
      <c r="C87" s="3"/>
      <c r="D87" s="117" t="s">
        <v>4</v>
      </c>
      <c r="E87" s="118"/>
    </row>
    <row r="88" spans="1:5" ht="15.5" thickTop="1" thickBot="1" x14ac:dyDescent="0.4">
      <c r="A88" s="256" t="s">
        <v>77</v>
      </c>
      <c r="B88" s="257"/>
      <c r="C88" s="3"/>
      <c r="D88" s="119" t="s">
        <v>37</v>
      </c>
      <c r="E88" s="118"/>
    </row>
    <row r="89" spans="1:5" ht="15.5" thickTop="1" thickBot="1" x14ac:dyDescent="0.4">
      <c r="A89" s="256" t="s">
        <v>78</v>
      </c>
      <c r="B89" s="257"/>
      <c r="C89" s="3"/>
      <c r="D89" s="120" t="s">
        <v>38</v>
      </c>
      <c r="E89" s="121"/>
    </row>
    <row r="90" spans="1:5" ht="15.5" thickTop="1" thickBot="1" x14ac:dyDescent="0.4">
      <c r="A90" s="243" t="s">
        <v>11</v>
      </c>
      <c r="B90" s="244"/>
      <c r="D90" s="122" t="s">
        <v>39</v>
      </c>
      <c r="E90" s="123"/>
    </row>
    <row r="91" spans="1:5" ht="15.5" thickTop="1" thickBot="1" x14ac:dyDescent="0.4">
      <c r="A91" s="219" t="s">
        <v>79</v>
      </c>
      <c r="B91" s="220"/>
      <c r="C91" s="3"/>
      <c r="D91" s="117" t="s">
        <v>40</v>
      </c>
      <c r="E91" s="118"/>
    </row>
    <row r="92" spans="1:5" ht="15" thickTop="1" x14ac:dyDescent="0.35">
      <c r="A92" s="13"/>
      <c r="B92" s="13"/>
      <c r="C92" s="3"/>
      <c r="D92" s="14"/>
      <c r="E92" s="14"/>
    </row>
    <row r="93" spans="1:5" ht="29.5" x14ac:dyDescent="0.55000000000000004">
      <c r="A93" s="223" t="s">
        <v>87</v>
      </c>
      <c r="B93" s="223"/>
      <c r="C93" s="223"/>
      <c r="D93" s="223"/>
      <c r="E93" s="223"/>
    </row>
    <row r="94" spans="1:5" ht="15" thickBot="1" x14ac:dyDescent="0.4">
      <c r="A94" s="224" t="s">
        <v>168</v>
      </c>
      <c r="B94" s="224"/>
      <c r="C94" s="3"/>
      <c r="D94" s="3"/>
      <c r="E94" s="15"/>
    </row>
    <row r="95" spans="1:5" ht="15.5" thickTop="1" thickBot="1" x14ac:dyDescent="0.4">
      <c r="A95" s="16" t="s">
        <v>14</v>
      </c>
      <c r="B95" s="69" t="s">
        <v>15</v>
      </c>
      <c r="C95" s="70"/>
      <c r="D95" s="79"/>
      <c r="E95" s="17" t="s">
        <v>16</v>
      </c>
    </row>
    <row r="96" spans="1:5" ht="15" thickTop="1" x14ac:dyDescent="0.35">
      <c r="A96" s="71">
        <v>1</v>
      </c>
      <c r="B96" s="19" t="s">
        <v>49</v>
      </c>
      <c r="C96" s="20"/>
      <c r="D96" s="20"/>
      <c r="E96" s="21">
        <v>2500000</v>
      </c>
    </row>
    <row r="97" spans="1:5" x14ac:dyDescent="0.35">
      <c r="A97" s="72"/>
      <c r="B97" s="53" t="s">
        <v>44</v>
      </c>
      <c r="C97" s="34"/>
      <c r="D97" s="34"/>
      <c r="E97" s="25"/>
    </row>
    <row r="98" spans="1:5" x14ac:dyDescent="0.35">
      <c r="A98" s="72"/>
      <c r="B98" s="53" t="s">
        <v>41</v>
      </c>
      <c r="C98" s="34"/>
      <c r="D98" s="34"/>
      <c r="E98" s="25"/>
    </row>
    <row r="99" spans="1:5" x14ac:dyDescent="0.35">
      <c r="A99" s="72"/>
      <c r="B99" s="22" t="s">
        <v>18</v>
      </c>
      <c r="C99" s="52">
        <f>'Meterading 2025'!B34</f>
        <v>74511</v>
      </c>
      <c r="D99" s="24"/>
      <c r="E99" s="25"/>
    </row>
    <row r="100" spans="1:5" ht="15" x14ac:dyDescent="0.4">
      <c r="A100" s="72"/>
      <c r="B100" s="22" t="s">
        <v>19</v>
      </c>
      <c r="C100" s="26">
        <f>'Meterading 2025'!C34</f>
        <v>75838</v>
      </c>
      <c r="D100" s="27" t="s">
        <v>20</v>
      </c>
      <c r="E100" s="25"/>
    </row>
    <row r="101" spans="1:5" ht="15" thickBot="1" x14ac:dyDescent="0.4">
      <c r="A101" s="80"/>
      <c r="B101" s="22" t="s">
        <v>21</v>
      </c>
      <c r="C101" s="67">
        <f>+C100-C99</f>
        <v>1327</v>
      </c>
      <c r="D101" s="27"/>
      <c r="E101" s="25"/>
    </row>
    <row r="102" spans="1:5" ht="15" thickTop="1" x14ac:dyDescent="0.35">
      <c r="A102" s="18"/>
      <c r="B102" s="19" t="s">
        <v>42</v>
      </c>
      <c r="C102" s="20"/>
      <c r="D102" s="20"/>
      <c r="E102" s="21"/>
    </row>
    <row r="103" spans="1:5" x14ac:dyDescent="0.35">
      <c r="A103" s="28"/>
      <c r="B103" s="22" t="s">
        <v>18</v>
      </c>
      <c r="C103" s="23">
        <f>'Meterading 2025'!F34</f>
        <v>11343</v>
      </c>
      <c r="D103" s="24"/>
      <c r="E103" s="25"/>
    </row>
    <row r="104" spans="1:5" ht="15" x14ac:dyDescent="0.4">
      <c r="A104" s="28"/>
      <c r="B104" s="22" t="s">
        <v>19</v>
      </c>
      <c r="C104" s="26">
        <f>'Meterading 2025'!G34</f>
        <v>12214</v>
      </c>
      <c r="D104" s="27" t="s">
        <v>20</v>
      </c>
      <c r="E104" s="25"/>
    </row>
    <row r="105" spans="1:5" x14ac:dyDescent="0.35">
      <c r="A105" s="28"/>
      <c r="B105" s="22" t="s">
        <v>21</v>
      </c>
      <c r="C105" s="67">
        <f>+C104-C103</f>
        <v>871</v>
      </c>
      <c r="D105" s="27"/>
      <c r="E105" s="25"/>
    </row>
    <row r="106" spans="1:5" ht="15" x14ac:dyDescent="0.4">
      <c r="A106" s="28"/>
      <c r="B106" s="22" t="s">
        <v>22</v>
      </c>
      <c r="C106" s="26">
        <v>200</v>
      </c>
      <c r="D106" s="27" t="s">
        <v>20</v>
      </c>
      <c r="E106" s="25"/>
    </row>
    <row r="107" spans="1:5" x14ac:dyDescent="0.35">
      <c r="A107" s="28"/>
      <c r="B107" s="22" t="s">
        <v>21</v>
      </c>
      <c r="C107" s="92">
        <f>+C105-C106</f>
        <v>671</v>
      </c>
      <c r="D107" s="27"/>
      <c r="E107" s="25"/>
    </row>
    <row r="108" spans="1:5" ht="15" thickBot="1" x14ac:dyDescent="0.4">
      <c r="A108" s="55"/>
      <c r="B108" s="56"/>
      <c r="C108" s="57"/>
      <c r="D108" s="58"/>
      <c r="E108" s="59"/>
    </row>
    <row r="109" spans="1:5" ht="15.5" thickTop="1" thickBot="1" x14ac:dyDescent="0.4">
      <c r="A109" s="29">
        <v>2</v>
      </c>
      <c r="B109" s="30" t="s">
        <v>23</v>
      </c>
      <c r="C109" s="31" t="s">
        <v>24</v>
      </c>
      <c r="D109" s="32">
        <v>150</v>
      </c>
      <c r="E109" s="54">
        <f>C101*D109</f>
        <v>199050</v>
      </c>
    </row>
    <row r="110" spans="1:5" ht="15.5" thickTop="1" thickBot="1" x14ac:dyDescent="0.4">
      <c r="A110" s="29">
        <v>3</v>
      </c>
      <c r="B110" s="30" t="s">
        <v>43</v>
      </c>
      <c r="C110" s="31" t="s">
        <v>24</v>
      </c>
      <c r="D110" s="32">
        <v>1300</v>
      </c>
      <c r="E110" s="54">
        <f>+C107*D110</f>
        <v>872300</v>
      </c>
    </row>
    <row r="111" spans="1:5" ht="15.5" thickTop="1" thickBot="1" x14ac:dyDescent="0.4">
      <c r="A111" s="34"/>
      <c r="B111" s="34"/>
      <c r="C111" s="34"/>
      <c r="D111" s="86" t="s">
        <v>25</v>
      </c>
      <c r="E111" s="54">
        <f>+E110+E109+E96</f>
        <v>3571350</v>
      </c>
    </row>
    <row r="112" spans="1:5" ht="18" thickTop="1" thickBot="1" x14ac:dyDescent="0.45">
      <c r="A112" s="231" t="s">
        <v>26</v>
      </c>
      <c r="B112" s="232"/>
      <c r="C112" s="34"/>
      <c r="D112" s="86" t="s">
        <v>27</v>
      </c>
      <c r="E112" s="84">
        <v>0</v>
      </c>
    </row>
    <row r="113" spans="1:5" ht="18" thickTop="1" thickBot="1" x14ac:dyDescent="0.45">
      <c r="A113" s="233" t="s">
        <v>45</v>
      </c>
      <c r="B113" s="234"/>
      <c r="C113" s="41"/>
      <c r="D113" s="86" t="s">
        <v>29</v>
      </c>
      <c r="E113" s="85">
        <f>(E111+E112)</f>
        <v>3571350</v>
      </c>
    </row>
    <row r="114" spans="1:5" ht="17.5" thickTop="1" x14ac:dyDescent="0.4">
      <c r="A114" s="235" t="s">
        <v>142</v>
      </c>
      <c r="B114" s="236"/>
      <c r="C114" s="41"/>
      <c r="D114" s="35"/>
      <c r="E114" s="87"/>
    </row>
    <row r="115" spans="1:5" ht="17" x14ac:dyDescent="0.4">
      <c r="A115" s="205" t="s">
        <v>80</v>
      </c>
      <c r="B115" s="206"/>
      <c r="C115" s="41"/>
      <c r="D115" s="35"/>
      <c r="E115" s="87"/>
    </row>
    <row r="116" spans="1:5" ht="17" x14ac:dyDescent="0.4">
      <c r="A116" s="205" t="s">
        <v>81</v>
      </c>
      <c r="B116" s="206"/>
      <c r="C116" s="41"/>
      <c r="D116" s="35"/>
      <c r="E116" s="87"/>
    </row>
    <row r="117" spans="1:5" x14ac:dyDescent="0.35">
      <c r="A117" s="207" t="s">
        <v>28</v>
      </c>
      <c r="B117" s="208"/>
      <c r="C117" s="3"/>
      <c r="D117" s="3"/>
      <c r="E117" s="15"/>
    </row>
    <row r="118" spans="1:5" ht="15" thickBot="1" x14ac:dyDescent="0.4">
      <c r="A118" s="209" t="s">
        <v>30</v>
      </c>
      <c r="B118" s="210"/>
      <c r="C118" s="3"/>
      <c r="D118" s="3"/>
      <c r="E118" s="15"/>
    </row>
    <row r="119" spans="1:5" ht="15" thickTop="1" x14ac:dyDescent="0.35">
      <c r="A119" s="48"/>
      <c r="B119" s="49"/>
      <c r="C119" s="3"/>
      <c r="D119" s="3"/>
      <c r="E119" s="47"/>
    </row>
    <row r="120" spans="1:5" x14ac:dyDescent="0.35">
      <c r="A120" s="211" t="s">
        <v>33</v>
      </c>
      <c r="B120" s="211"/>
      <c r="C120" s="211" t="s">
        <v>1</v>
      </c>
      <c r="D120" s="211"/>
      <c r="E120" s="211"/>
    </row>
    <row r="124" spans="1:5" x14ac:dyDescent="0.35">
      <c r="A124" s="212" t="s">
        <v>34</v>
      </c>
      <c r="B124" s="212"/>
      <c r="C124" s="213" t="s">
        <v>149</v>
      </c>
      <c r="D124" s="213"/>
      <c r="E124" s="213"/>
    </row>
    <row r="125" spans="1:5" x14ac:dyDescent="0.35">
      <c r="D125" s="60" t="s">
        <v>154</v>
      </c>
      <c r="E125" s="51"/>
    </row>
    <row r="126" spans="1:5" ht="15" thickBot="1" x14ac:dyDescent="0.4">
      <c r="D126" s="60"/>
      <c r="E126" s="51"/>
    </row>
    <row r="127" spans="1:5" ht="15.5" thickTop="1" thickBot="1" x14ac:dyDescent="0.4">
      <c r="A127" s="266" t="s">
        <v>1</v>
      </c>
      <c r="B127" s="267"/>
      <c r="C127" s="3"/>
      <c r="D127" s="116" t="s">
        <v>0</v>
      </c>
      <c r="E127" s="112" t="s">
        <v>151</v>
      </c>
    </row>
    <row r="128" spans="1:5" ht="15.5" thickTop="1" thickBot="1" x14ac:dyDescent="0.4">
      <c r="A128" s="254"/>
      <c r="B128" s="255"/>
      <c r="C128" s="3"/>
      <c r="D128" s="115" t="s">
        <v>2</v>
      </c>
      <c r="E128" s="114">
        <v>45931</v>
      </c>
    </row>
    <row r="129" spans="1:5" ht="15.5" thickTop="1" thickBot="1" x14ac:dyDescent="0.4">
      <c r="A129" s="256" t="s">
        <v>104</v>
      </c>
      <c r="B129" s="257"/>
      <c r="C129" s="3"/>
      <c r="D129" s="117" t="s">
        <v>4</v>
      </c>
      <c r="E129" s="118"/>
    </row>
    <row r="130" spans="1:5" ht="15.5" thickTop="1" thickBot="1" x14ac:dyDescent="0.4">
      <c r="A130" s="256" t="s">
        <v>77</v>
      </c>
      <c r="B130" s="257"/>
      <c r="C130" s="3"/>
      <c r="D130" s="119" t="s">
        <v>37</v>
      </c>
      <c r="E130" s="118"/>
    </row>
    <row r="131" spans="1:5" ht="15.5" thickTop="1" thickBot="1" x14ac:dyDescent="0.4">
      <c r="A131" s="256" t="s">
        <v>78</v>
      </c>
      <c r="B131" s="257"/>
      <c r="C131" s="3"/>
      <c r="D131" s="120" t="s">
        <v>38</v>
      </c>
      <c r="E131" s="121"/>
    </row>
    <row r="132" spans="1:5" ht="15.5" thickTop="1" thickBot="1" x14ac:dyDescent="0.4">
      <c r="A132" s="243" t="s">
        <v>11</v>
      </c>
      <c r="B132" s="244"/>
      <c r="D132" s="122" t="s">
        <v>39</v>
      </c>
      <c r="E132" s="123"/>
    </row>
    <row r="133" spans="1:5" ht="15.5" thickTop="1" thickBot="1" x14ac:dyDescent="0.4">
      <c r="A133" s="219" t="s">
        <v>79</v>
      </c>
      <c r="B133" s="220"/>
      <c r="C133" s="3"/>
      <c r="D133" s="117" t="s">
        <v>40</v>
      </c>
      <c r="E133" s="118"/>
    </row>
    <row r="134" spans="1:5" ht="15" thickTop="1" x14ac:dyDescent="0.35">
      <c r="A134" s="13"/>
      <c r="B134" s="13"/>
      <c r="C134" s="3"/>
      <c r="D134" s="14"/>
      <c r="E134" s="14"/>
    </row>
    <row r="135" spans="1:5" ht="29.5" x14ac:dyDescent="0.55000000000000004">
      <c r="A135" s="223" t="s">
        <v>87</v>
      </c>
      <c r="B135" s="223"/>
      <c r="C135" s="223"/>
      <c r="D135" s="223"/>
      <c r="E135" s="223"/>
    </row>
    <row r="136" spans="1:5" ht="15" thickBot="1" x14ac:dyDescent="0.4">
      <c r="A136" s="224" t="s">
        <v>153</v>
      </c>
      <c r="B136" s="224"/>
      <c r="C136" s="3"/>
      <c r="D136" s="3"/>
      <c r="E136" s="15"/>
    </row>
    <row r="137" spans="1:5" ht="15.5" thickTop="1" thickBot="1" x14ac:dyDescent="0.4">
      <c r="A137" s="16" t="s">
        <v>14</v>
      </c>
      <c r="B137" s="69" t="s">
        <v>15</v>
      </c>
      <c r="C137" s="70"/>
      <c r="D137" s="79"/>
      <c r="E137" s="17" t="s">
        <v>16</v>
      </c>
    </row>
    <row r="138" spans="1:5" ht="15" thickTop="1" x14ac:dyDescent="0.35">
      <c r="A138" s="71">
        <v>1</v>
      </c>
      <c r="B138" s="19" t="s">
        <v>49</v>
      </c>
      <c r="C138" s="20"/>
      <c r="D138" s="20"/>
      <c r="E138" s="21">
        <v>2500000</v>
      </c>
    </row>
    <row r="139" spans="1:5" x14ac:dyDescent="0.35">
      <c r="A139" s="72"/>
      <c r="B139" s="53" t="s">
        <v>44</v>
      </c>
      <c r="C139" s="34"/>
      <c r="D139" s="34"/>
      <c r="E139" s="25"/>
    </row>
    <row r="140" spans="1:5" x14ac:dyDescent="0.35">
      <c r="A140" s="72"/>
      <c r="B140" s="53" t="s">
        <v>41</v>
      </c>
      <c r="C140" s="34"/>
      <c r="D140" s="34"/>
      <c r="E140" s="25"/>
    </row>
    <row r="141" spans="1:5" x14ac:dyDescent="0.35">
      <c r="A141" s="72"/>
      <c r="B141" s="22" t="s">
        <v>18</v>
      </c>
      <c r="C141" s="52">
        <f>'Meterading 2025'!B33</f>
        <v>73159</v>
      </c>
      <c r="D141" s="24"/>
      <c r="E141" s="25"/>
    </row>
    <row r="142" spans="1:5" ht="15" x14ac:dyDescent="0.4">
      <c r="A142" s="72"/>
      <c r="B142" s="22" t="s">
        <v>19</v>
      </c>
      <c r="C142" s="26">
        <f>'Meterading 2025'!C33</f>
        <v>74511</v>
      </c>
      <c r="D142" s="27" t="s">
        <v>20</v>
      </c>
      <c r="E142" s="25"/>
    </row>
    <row r="143" spans="1:5" ht="15" thickBot="1" x14ac:dyDescent="0.4">
      <c r="A143" s="80"/>
      <c r="B143" s="22" t="s">
        <v>21</v>
      </c>
      <c r="C143" s="67">
        <f>+C142-C141</f>
        <v>1352</v>
      </c>
      <c r="D143" s="27"/>
      <c r="E143" s="25"/>
    </row>
    <row r="144" spans="1:5" ht="15" thickTop="1" x14ac:dyDescent="0.35">
      <c r="A144" s="18"/>
      <c r="B144" s="19" t="s">
        <v>42</v>
      </c>
      <c r="C144" s="20"/>
      <c r="D144" s="20"/>
      <c r="E144" s="21"/>
    </row>
    <row r="145" spans="1:5" x14ac:dyDescent="0.35">
      <c r="A145" s="28"/>
      <c r="B145" s="22" t="s">
        <v>18</v>
      </c>
      <c r="C145" s="23">
        <f>'Meterading 2025'!F33</f>
        <v>10736</v>
      </c>
      <c r="D145" s="24"/>
      <c r="E145" s="25"/>
    </row>
    <row r="146" spans="1:5" ht="15" x14ac:dyDescent="0.4">
      <c r="A146" s="28"/>
      <c r="B146" s="22" t="s">
        <v>19</v>
      </c>
      <c r="C146" s="26">
        <f>'Meterading 2025'!G33</f>
        <v>11343</v>
      </c>
      <c r="D146" s="27" t="s">
        <v>20</v>
      </c>
      <c r="E146" s="25"/>
    </row>
    <row r="147" spans="1:5" x14ac:dyDescent="0.35">
      <c r="A147" s="28"/>
      <c r="B147" s="22" t="s">
        <v>21</v>
      </c>
      <c r="C147" s="67">
        <f>+C146-C145</f>
        <v>607</v>
      </c>
      <c r="D147" s="27"/>
      <c r="E147" s="25"/>
    </row>
    <row r="148" spans="1:5" ht="15" x14ac:dyDescent="0.4">
      <c r="A148" s="28"/>
      <c r="B148" s="22" t="s">
        <v>22</v>
      </c>
      <c r="C148" s="26">
        <v>200</v>
      </c>
      <c r="D148" s="27" t="s">
        <v>20</v>
      </c>
      <c r="E148" s="25"/>
    </row>
    <row r="149" spans="1:5" x14ac:dyDescent="0.35">
      <c r="A149" s="28"/>
      <c r="B149" s="22" t="s">
        <v>21</v>
      </c>
      <c r="C149" s="92">
        <f>+C147-C148</f>
        <v>407</v>
      </c>
      <c r="D149" s="27"/>
      <c r="E149" s="25"/>
    </row>
    <row r="150" spans="1:5" ht="15" thickBot="1" x14ac:dyDescent="0.4">
      <c r="A150" s="55"/>
      <c r="B150" s="56"/>
      <c r="C150" s="57"/>
      <c r="D150" s="58"/>
      <c r="E150" s="59"/>
    </row>
    <row r="151" spans="1:5" ht="15.5" thickTop="1" thickBot="1" x14ac:dyDescent="0.4">
      <c r="A151" s="29">
        <v>2</v>
      </c>
      <c r="B151" s="30" t="s">
        <v>23</v>
      </c>
      <c r="C151" s="31" t="s">
        <v>24</v>
      </c>
      <c r="D151" s="32">
        <v>150</v>
      </c>
      <c r="E151" s="54">
        <f>C143*D151</f>
        <v>202800</v>
      </c>
    </row>
    <row r="152" spans="1:5" ht="15.5" thickTop="1" thickBot="1" x14ac:dyDescent="0.4">
      <c r="A152" s="29">
        <v>3</v>
      </c>
      <c r="B152" s="30" t="s">
        <v>43</v>
      </c>
      <c r="C152" s="31" t="s">
        <v>24</v>
      </c>
      <c r="D152" s="32">
        <v>1300</v>
      </c>
      <c r="E152" s="54">
        <f>+C149*D152</f>
        <v>529100</v>
      </c>
    </row>
    <row r="153" spans="1:5" ht="15.5" thickTop="1" thickBot="1" x14ac:dyDescent="0.4">
      <c r="A153" s="34"/>
      <c r="B153" s="34"/>
      <c r="C153" s="34"/>
      <c r="D153" s="86" t="s">
        <v>25</v>
      </c>
      <c r="E153" s="54">
        <f>+E152+E151+E138</f>
        <v>3231900</v>
      </c>
    </row>
    <row r="154" spans="1:5" ht="18" thickTop="1" thickBot="1" x14ac:dyDescent="0.45">
      <c r="A154" s="231" t="s">
        <v>26</v>
      </c>
      <c r="B154" s="232"/>
      <c r="C154" s="34"/>
      <c r="D154" s="86" t="s">
        <v>27</v>
      </c>
      <c r="E154" s="84">
        <v>0</v>
      </c>
    </row>
    <row r="155" spans="1:5" ht="18" thickTop="1" thickBot="1" x14ac:dyDescent="0.45">
      <c r="A155" s="233" t="s">
        <v>45</v>
      </c>
      <c r="B155" s="234"/>
      <c r="C155" s="41"/>
      <c r="D155" s="86" t="s">
        <v>29</v>
      </c>
      <c r="E155" s="85">
        <f>(E153+E154)</f>
        <v>3231900</v>
      </c>
    </row>
    <row r="156" spans="1:5" ht="17.5" thickTop="1" x14ac:dyDescent="0.4">
      <c r="A156" s="235" t="s">
        <v>142</v>
      </c>
      <c r="B156" s="236"/>
      <c r="C156" s="41"/>
      <c r="D156" s="35"/>
      <c r="E156" s="87"/>
    </row>
    <row r="157" spans="1:5" ht="17" x14ac:dyDescent="0.4">
      <c r="A157" s="205" t="s">
        <v>80</v>
      </c>
      <c r="B157" s="206"/>
      <c r="C157" s="41"/>
      <c r="D157" s="35"/>
      <c r="E157" s="87"/>
    </row>
    <row r="158" spans="1:5" ht="17" x14ac:dyDescent="0.4">
      <c r="A158" s="205" t="s">
        <v>81</v>
      </c>
      <c r="B158" s="206"/>
      <c r="C158" s="41"/>
      <c r="D158" s="35"/>
      <c r="E158" s="87"/>
    </row>
    <row r="159" spans="1:5" x14ac:dyDescent="0.35">
      <c r="A159" s="207" t="s">
        <v>28</v>
      </c>
      <c r="B159" s="208"/>
      <c r="C159" s="3"/>
      <c r="D159" s="3"/>
      <c r="E159" s="15"/>
    </row>
    <row r="160" spans="1:5" ht="15" thickBot="1" x14ac:dyDescent="0.4">
      <c r="A160" s="209" t="s">
        <v>30</v>
      </c>
      <c r="B160" s="210"/>
      <c r="C160" s="3"/>
      <c r="D160" s="3"/>
      <c r="E160" s="15"/>
    </row>
    <row r="161" spans="1:5" ht="15" thickTop="1" x14ac:dyDescent="0.35">
      <c r="A161" s="48"/>
      <c r="B161" s="49"/>
      <c r="C161" s="3"/>
      <c r="D161" s="3"/>
      <c r="E161" s="47"/>
    </row>
    <row r="162" spans="1:5" x14ac:dyDescent="0.35">
      <c r="A162" s="211" t="s">
        <v>33</v>
      </c>
      <c r="B162" s="211"/>
      <c r="C162" s="211" t="s">
        <v>1</v>
      </c>
      <c r="D162" s="211"/>
      <c r="E162" s="211"/>
    </row>
    <row r="166" spans="1:5" x14ac:dyDescent="0.35">
      <c r="A166" s="212" t="s">
        <v>34</v>
      </c>
      <c r="B166" s="212"/>
      <c r="C166" s="213" t="s">
        <v>149</v>
      </c>
      <c r="D166" s="213"/>
      <c r="E166" s="213"/>
    </row>
    <row r="167" spans="1:5" x14ac:dyDescent="0.35">
      <c r="D167" s="60" t="s">
        <v>154</v>
      </c>
      <c r="E167" s="51"/>
    </row>
    <row r="168" spans="1:5" ht="15" thickBot="1" x14ac:dyDescent="0.4">
      <c r="D168" s="60"/>
      <c r="E168" s="51"/>
    </row>
    <row r="169" spans="1:5" ht="15.5" thickTop="1" thickBot="1" x14ac:dyDescent="0.4">
      <c r="A169" s="266" t="s">
        <v>1</v>
      </c>
      <c r="B169" s="267"/>
      <c r="C169" s="3"/>
      <c r="D169" s="116" t="s">
        <v>0</v>
      </c>
      <c r="E169" s="112" t="s">
        <v>146</v>
      </c>
    </row>
    <row r="170" spans="1:5" ht="15.5" thickTop="1" thickBot="1" x14ac:dyDescent="0.4">
      <c r="A170" s="254"/>
      <c r="B170" s="255"/>
      <c r="C170" s="3"/>
      <c r="D170" s="115" t="s">
        <v>2</v>
      </c>
      <c r="E170" s="114">
        <v>45901</v>
      </c>
    </row>
    <row r="171" spans="1:5" ht="15.5" thickTop="1" thickBot="1" x14ac:dyDescent="0.4">
      <c r="A171" s="256" t="s">
        <v>104</v>
      </c>
      <c r="B171" s="257"/>
      <c r="C171" s="3"/>
      <c r="D171" s="117" t="s">
        <v>4</v>
      </c>
      <c r="E171" s="118"/>
    </row>
    <row r="172" spans="1:5" ht="15.5" thickTop="1" thickBot="1" x14ac:dyDescent="0.4">
      <c r="A172" s="256" t="s">
        <v>77</v>
      </c>
      <c r="B172" s="257"/>
      <c r="C172" s="3"/>
      <c r="D172" s="119" t="s">
        <v>37</v>
      </c>
      <c r="E172" s="118"/>
    </row>
    <row r="173" spans="1:5" ht="15.5" thickTop="1" thickBot="1" x14ac:dyDescent="0.4">
      <c r="A173" s="256" t="s">
        <v>78</v>
      </c>
      <c r="B173" s="257"/>
      <c r="C173" s="3"/>
      <c r="D173" s="120" t="s">
        <v>38</v>
      </c>
      <c r="E173" s="121"/>
    </row>
    <row r="174" spans="1:5" ht="15.5" thickTop="1" thickBot="1" x14ac:dyDescent="0.4">
      <c r="A174" s="243" t="s">
        <v>11</v>
      </c>
      <c r="B174" s="244"/>
      <c r="D174" s="122" t="s">
        <v>39</v>
      </c>
      <c r="E174" s="123"/>
    </row>
    <row r="175" spans="1:5" ht="15.5" thickTop="1" thickBot="1" x14ac:dyDescent="0.4">
      <c r="A175" s="219" t="s">
        <v>79</v>
      </c>
      <c r="B175" s="220"/>
      <c r="C175" s="3"/>
      <c r="D175" s="117" t="s">
        <v>40</v>
      </c>
      <c r="E175" s="118"/>
    </row>
    <row r="176" spans="1:5" ht="15" thickTop="1" x14ac:dyDescent="0.35">
      <c r="A176" s="13"/>
      <c r="B176" s="13"/>
      <c r="C176" s="3"/>
      <c r="D176" s="14"/>
      <c r="E176" s="14"/>
    </row>
    <row r="177" spans="1:5" ht="29.5" x14ac:dyDescent="0.55000000000000004">
      <c r="A177" s="223" t="s">
        <v>87</v>
      </c>
      <c r="B177" s="223"/>
      <c r="C177" s="223"/>
      <c r="D177" s="223"/>
      <c r="E177" s="223"/>
    </row>
    <row r="178" spans="1:5" ht="15" thickBot="1" x14ac:dyDescent="0.4">
      <c r="A178" s="224" t="s">
        <v>148</v>
      </c>
      <c r="B178" s="224"/>
      <c r="C178" s="3"/>
      <c r="D178" s="3"/>
      <c r="E178" s="15"/>
    </row>
    <row r="179" spans="1:5" ht="15.5" thickTop="1" thickBot="1" x14ac:dyDescent="0.4">
      <c r="A179" s="16" t="s">
        <v>14</v>
      </c>
      <c r="B179" s="69" t="s">
        <v>15</v>
      </c>
      <c r="C179" s="70"/>
      <c r="D179" s="79"/>
      <c r="E179" s="17" t="s">
        <v>16</v>
      </c>
    </row>
    <row r="180" spans="1:5" ht="15" thickTop="1" x14ac:dyDescent="0.35">
      <c r="A180" s="71">
        <v>1</v>
      </c>
      <c r="B180" s="19" t="s">
        <v>49</v>
      </c>
      <c r="C180" s="20"/>
      <c r="D180" s="20"/>
      <c r="E180" s="21">
        <v>2500000</v>
      </c>
    </row>
    <row r="181" spans="1:5" x14ac:dyDescent="0.35">
      <c r="A181" s="72"/>
      <c r="B181" s="53" t="s">
        <v>44</v>
      </c>
      <c r="C181" s="34"/>
      <c r="D181" s="34"/>
      <c r="E181" s="25"/>
    </row>
    <row r="182" spans="1:5" x14ac:dyDescent="0.35">
      <c r="A182" s="72"/>
      <c r="B182" s="53" t="s">
        <v>41</v>
      </c>
      <c r="C182" s="34"/>
      <c r="D182" s="34"/>
      <c r="E182" s="25"/>
    </row>
    <row r="183" spans="1:5" x14ac:dyDescent="0.35">
      <c r="A183" s="72"/>
      <c r="B183" s="22" t="s">
        <v>18</v>
      </c>
      <c r="C183" s="52">
        <f>'Meterading 2025'!B32</f>
        <v>71953</v>
      </c>
      <c r="D183" s="24"/>
      <c r="E183" s="25"/>
    </row>
    <row r="184" spans="1:5" ht="15" x14ac:dyDescent="0.4">
      <c r="A184" s="72"/>
      <c r="B184" s="22" t="s">
        <v>19</v>
      </c>
      <c r="C184" s="26">
        <f>'Meterading 2025'!C32</f>
        <v>73159</v>
      </c>
      <c r="D184" s="27" t="s">
        <v>20</v>
      </c>
      <c r="E184" s="25"/>
    </row>
    <row r="185" spans="1:5" ht="15" thickBot="1" x14ac:dyDescent="0.4">
      <c r="A185" s="80"/>
      <c r="B185" s="22" t="s">
        <v>21</v>
      </c>
      <c r="C185" s="67">
        <f>+C184-C183</f>
        <v>1206</v>
      </c>
      <c r="D185" s="27"/>
      <c r="E185" s="25"/>
    </row>
    <row r="186" spans="1:5" ht="15" thickTop="1" x14ac:dyDescent="0.35">
      <c r="A186" s="18"/>
      <c r="B186" s="19" t="s">
        <v>42</v>
      </c>
      <c r="C186" s="20"/>
      <c r="D186" s="20"/>
      <c r="E186" s="21"/>
    </row>
    <row r="187" spans="1:5" x14ac:dyDescent="0.35">
      <c r="A187" s="28"/>
      <c r="B187" s="22" t="s">
        <v>18</v>
      </c>
      <c r="C187" s="23">
        <f>'Meterading 2025'!F32</f>
        <v>10290</v>
      </c>
      <c r="D187" s="24"/>
      <c r="E187" s="25"/>
    </row>
    <row r="188" spans="1:5" ht="15" x14ac:dyDescent="0.4">
      <c r="A188" s="28"/>
      <c r="B188" s="22" t="s">
        <v>19</v>
      </c>
      <c r="C188" s="26">
        <f>'Meterading 2025'!G32</f>
        <v>10736</v>
      </c>
      <c r="D188" s="27" t="s">
        <v>20</v>
      </c>
      <c r="E188" s="25"/>
    </row>
    <row r="189" spans="1:5" x14ac:dyDescent="0.35">
      <c r="A189" s="28"/>
      <c r="B189" s="22" t="s">
        <v>21</v>
      </c>
      <c r="C189" s="67">
        <f>+C188-C187</f>
        <v>446</v>
      </c>
      <c r="D189" s="27"/>
      <c r="E189" s="25"/>
    </row>
    <row r="190" spans="1:5" ht="15" x14ac:dyDescent="0.4">
      <c r="A190" s="28"/>
      <c r="B190" s="22" t="s">
        <v>22</v>
      </c>
      <c r="C190" s="26">
        <v>200</v>
      </c>
      <c r="D190" s="27" t="s">
        <v>20</v>
      </c>
      <c r="E190" s="25"/>
    </row>
    <row r="191" spans="1:5" x14ac:dyDescent="0.35">
      <c r="A191" s="28"/>
      <c r="B191" s="22" t="s">
        <v>21</v>
      </c>
      <c r="C191" s="92">
        <f>+C189-C190</f>
        <v>246</v>
      </c>
      <c r="D191" s="27"/>
      <c r="E191" s="25"/>
    </row>
    <row r="192" spans="1:5" ht="15" thickBot="1" x14ac:dyDescent="0.4">
      <c r="A192" s="55"/>
      <c r="B192" s="56"/>
      <c r="C192" s="57"/>
      <c r="D192" s="58"/>
      <c r="E192" s="59"/>
    </row>
    <row r="193" spans="1:5" ht="15.5" thickTop="1" thickBot="1" x14ac:dyDescent="0.4">
      <c r="A193" s="29">
        <v>2</v>
      </c>
      <c r="B193" s="30" t="s">
        <v>23</v>
      </c>
      <c r="C193" s="31" t="s">
        <v>24</v>
      </c>
      <c r="D193" s="32">
        <v>150</v>
      </c>
      <c r="E193" s="54">
        <f>C185*D193</f>
        <v>180900</v>
      </c>
    </row>
    <row r="194" spans="1:5" ht="15.5" thickTop="1" thickBot="1" x14ac:dyDescent="0.4">
      <c r="A194" s="29">
        <v>3</v>
      </c>
      <c r="B194" s="30" t="s">
        <v>43</v>
      </c>
      <c r="C194" s="31" t="s">
        <v>24</v>
      </c>
      <c r="D194" s="32">
        <v>1300</v>
      </c>
      <c r="E194" s="54">
        <f>+C191*D194</f>
        <v>319800</v>
      </c>
    </row>
    <row r="195" spans="1:5" ht="15.5" thickTop="1" thickBot="1" x14ac:dyDescent="0.4">
      <c r="A195" s="34"/>
      <c r="B195" s="34"/>
      <c r="C195" s="34"/>
      <c r="D195" s="86" t="s">
        <v>25</v>
      </c>
      <c r="E195" s="54">
        <f>+E194+E193+E180</f>
        <v>3000700</v>
      </c>
    </row>
    <row r="196" spans="1:5" ht="18" thickTop="1" thickBot="1" x14ac:dyDescent="0.45">
      <c r="A196" s="231" t="s">
        <v>26</v>
      </c>
      <c r="B196" s="232"/>
      <c r="C196" s="34"/>
      <c r="D196" s="86" t="s">
        <v>27</v>
      </c>
      <c r="E196" s="84">
        <v>0</v>
      </c>
    </row>
    <row r="197" spans="1:5" ht="18" thickTop="1" thickBot="1" x14ac:dyDescent="0.45">
      <c r="A197" s="233" t="s">
        <v>45</v>
      </c>
      <c r="B197" s="234"/>
      <c r="C197" s="41"/>
      <c r="D197" s="86" t="s">
        <v>29</v>
      </c>
      <c r="E197" s="85">
        <f>(E195+E196)</f>
        <v>3000700</v>
      </c>
    </row>
    <row r="198" spans="1:5" ht="17.5" thickTop="1" x14ac:dyDescent="0.4">
      <c r="A198" s="235" t="s">
        <v>142</v>
      </c>
      <c r="B198" s="236"/>
      <c r="C198" s="41"/>
      <c r="D198" s="35"/>
      <c r="E198" s="87"/>
    </row>
    <row r="199" spans="1:5" ht="17" x14ac:dyDescent="0.4">
      <c r="A199" s="205" t="s">
        <v>80</v>
      </c>
      <c r="B199" s="206"/>
      <c r="C199" s="41"/>
      <c r="D199" s="35"/>
      <c r="E199" s="87"/>
    </row>
    <row r="200" spans="1:5" ht="17" x14ac:dyDescent="0.4">
      <c r="A200" s="205" t="s">
        <v>81</v>
      </c>
      <c r="B200" s="206"/>
      <c r="C200" s="41"/>
      <c r="D200" s="35"/>
      <c r="E200" s="87"/>
    </row>
    <row r="201" spans="1:5" x14ac:dyDescent="0.35">
      <c r="A201" s="207" t="s">
        <v>28</v>
      </c>
      <c r="B201" s="208"/>
      <c r="C201" s="3"/>
      <c r="D201" s="3"/>
      <c r="E201" s="15"/>
    </row>
    <row r="202" spans="1:5" ht="15" thickBot="1" x14ac:dyDescent="0.4">
      <c r="A202" s="209" t="s">
        <v>30</v>
      </c>
      <c r="B202" s="210"/>
      <c r="C202" s="3"/>
      <c r="D202" s="3"/>
      <c r="E202" s="15"/>
    </row>
    <row r="203" spans="1:5" ht="15" thickTop="1" x14ac:dyDescent="0.35">
      <c r="A203" s="48"/>
      <c r="B203" s="49"/>
      <c r="C203" s="3"/>
      <c r="D203" s="3"/>
      <c r="E203" s="47"/>
    </row>
    <row r="204" spans="1:5" x14ac:dyDescent="0.35">
      <c r="A204" s="211" t="s">
        <v>33</v>
      </c>
      <c r="B204" s="211"/>
      <c r="C204" s="211" t="s">
        <v>1</v>
      </c>
      <c r="D204" s="211"/>
      <c r="E204" s="211"/>
    </row>
    <row r="208" spans="1:5" x14ac:dyDescent="0.35">
      <c r="A208" s="212" t="s">
        <v>34</v>
      </c>
      <c r="B208" s="212"/>
      <c r="C208" s="213" t="s">
        <v>149</v>
      </c>
      <c r="D208" s="213"/>
      <c r="E208" s="213"/>
    </row>
    <row r="209" spans="1:5" x14ac:dyDescent="0.35">
      <c r="D209" s="60" t="s">
        <v>36</v>
      </c>
      <c r="E209" s="51"/>
    </row>
    <row r="210" spans="1:5" ht="15" thickBot="1" x14ac:dyDescent="0.4">
      <c r="D210" s="60"/>
      <c r="E210" s="51"/>
    </row>
    <row r="211" spans="1:5" ht="15.5" thickTop="1" thickBot="1" x14ac:dyDescent="0.4">
      <c r="A211" s="266" t="s">
        <v>1</v>
      </c>
      <c r="B211" s="267"/>
      <c r="C211" s="3"/>
      <c r="D211" s="116" t="s">
        <v>0</v>
      </c>
      <c r="E211" s="112" t="s">
        <v>140</v>
      </c>
    </row>
    <row r="212" spans="1:5" ht="15.5" thickTop="1" thickBot="1" x14ac:dyDescent="0.4">
      <c r="A212" s="254"/>
      <c r="B212" s="255"/>
      <c r="C212" s="3"/>
      <c r="D212" s="115" t="s">
        <v>2</v>
      </c>
      <c r="E212" s="114">
        <v>45870</v>
      </c>
    </row>
    <row r="213" spans="1:5" ht="15.5" thickTop="1" thickBot="1" x14ac:dyDescent="0.4">
      <c r="A213" s="256" t="s">
        <v>104</v>
      </c>
      <c r="B213" s="257"/>
      <c r="C213" s="3"/>
      <c r="D213" s="117" t="s">
        <v>4</v>
      </c>
      <c r="E213" s="118"/>
    </row>
    <row r="214" spans="1:5" ht="15.5" thickTop="1" thickBot="1" x14ac:dyDescent="0.4">
      <c r="A214" s="256" t="s">
        <v>77</v>
      </c>
      <c r="B214" s="257"/>
      <c r="C214" s="3"/>
      <c r="D214" s="119" t="s">
        <v>37</v>
      </c>
      <c r="E214" s="118"/>
    </row>
    <row r="215" spans="1:5" ht="15.5" thickTop="1" thickBot="1" x14ac:dyDescent="0.4">
      <c r="A215" s="256" t="s">
        <v>78</v>
      </c>
      <c r="B215" s="257"/>
      <c r="C215" s="3"/>
      <c r="D215" s="120" t="s">
        <v>38</v>
      </c>
      <c r="E215" s="121"/>
    </row>
    <row r="216" spans="1:5" ht="15.5" thickTop="1" thickBot="1" x14ac:dyDescent="0.4">
      <c r="A216" s="243" t="s">
        <v>11</v>
      </c>
      <c r="B216" s="244"/>
      <c r="D216" s="122" t="s">
        <v>39</v>
      </c>
      <c r="E216" s="123"/>
    </row>
    <row r="217" spans="1:5" ht="15.5" thickTop="1" thickBot="1" x14ac:dyDescent="0.4">
      <c r="A217" s="219" t="s">
        <v>79</v>
      </c>
      <c r="B217" s="220"/>
      <c r="C217" s="3"/>
      <c r="D217" s="117" t="s">
        <v>40</v>
      </c>
      <c r="E217" s="118"/>
    </row>
    <row r="218" spans="1:5" ht="15" thickTop="1" x14ac:dyDescent="0.35">
      <c r="A218" s="13"/>
      <c r="B218" s="13"/>
      <c r="C218" s="3"/>
      <c r="D218" s="14"/>
      <c r="E218" s="14"/>
    </row>
    <row r="219" spans="1:5" ht="29.5" x14ac:dyDescent="0.55000000000000004">
      <c r="A219" s="223" t="s">
        <v>87</v>
      </c>
      <c r="B219" s="223"/>
      <c r="C219" s="223"/>
      <c r="D219" s="223"/>
      <c r="E219" s="223"/>
    </row>
    <row r="220" spans="1:5" ht="15" thickBot="1" x14ac:dyDescent="0.4">
      <c r="A220" s="224" t="s">
        <v>138</v>
      </c>
      <c r="B220" s="224"/>
      <c r="C220" s="3"/>
      <c r="D220" s="3"/>
      <c r="E220" s="15"/>
    </row>
    <row r="221" spans="1:5" ht="15.5" thickTop="1" thickBot="1" x14ac:dyDescent="0.4">
      <c r="A221" s="16" t="s">
        <v>14</v>
      </c>
      <c r="B221" s="69" t="s">
        <v>15</v>
      </c>
      <c r="C221" s="70"/>
      <c r="D221" s="79"/>
      <c r="E221" s="17" t="s">
        <v>16</v>
      </c>
    </row>
    <row r="222" spans="1:5" ht="15" thickTop="1" x14ac:dyDescent="0.35">
      <c r="A222" s="71">
        <v>1</v>
      </c>
      <c r="B222" s="19" t="s">
        <v>49</v>
      </c>
      <c r="C222" s="20"/>
      <c r="D222" s="20"/>
      <c r="E222" s="21">
        <v>2500000</v>
      </c>
    </row>
    <row r="223" spans="1:5" x14ac:dyDescent="0.35">
      <c r="A223" s="72"/>
      <c r="B223" s="53" t="s">
        <v>44</v>
      </c>
      <c r="C223" s="34"/>
      <c r="D223" s="34"/>
      <c r="E223" s="25"/>
    </row>
    <row r="224" spans="1:5" x14ac:dyDescent="0.35">
      <c r="A224" s="72"/>
      <c r="B224" s="53" t="s">
        <v>41</v>
      </c>
      <c r="C224" s="34"/>
      <c r="D224" s="34"/>
      <c r="E224" s="25"/>
    </row>
    <row r="225" spans="1:5" x14ac:dyDescent="0.35">
      <c r="A225" s="72"/>
      <c r="B225" s="22" t="s">
        <v>18</v>
      </c>
      <c r="C225" s="52">
        <f>'Meterading 2025'!B31</f>
        <v>70711</v>
      </c>
      <c r="D225" s="24"/>
      <c r="E225" s="25"/>
    </row>
    <row r="226" spans="1:5" ht="15" x14ac:dyDescent="0.4">
      <c r="A226" s="72"/>
      <c r="B226" s="22" t="s">
        <v>19</v>
      </c>
      <c r="C226" s="26">
        <f>'Meterading 2025'!C31</f>
        <v>71953</v>
      </c>
      <c r="D226" s="27" t="s">
        <v>20</v>
      </c>
      <c r="E226" s="25"/>
    </row>
    <row r="227" spans="1:5" ht="15" thickBot="1" x14ac:dyDescent="0.4">
      <c r="A227" s="80"/>
      <c r="B227" s="22" t="s">
        <v>21</v>
      </c>
      <c r="C227" s="67">
        <f>+C226-C225</f>
        <v>1242</v>
      </c>
      <c r="D227" s="27"/>
      <c r="E227" s="25"/>
    </row>
    <row r="228" spans="1:5" ht="15" thickTop="1" x14ac:dyDescent="0.35">
      <c r="A228" s="18"/>
      <c r="B228" s="19" t="s">
        <v>42</v>
      </c>
      <c r="C228" s="20"/>
      <c r="D228" s="20"/>
      <c r="E228" s="21"/>
    </row>
    <row r="229" spans="1:5" x14ac:dyDescent="0.35">
      <c r="A229" s="28"/>
      <c r="B229" s="22" t="s">
        <v>18</v>
      </c>
      <c r="C229" s="23">
        <f>'Meterading 2025'!F31</f>
        <v>9677</v>
      </c>
      <c r="D229" s="24"/>
      <c r="E229" s="25"/>
    </row>
    <row r="230" spans="1:5" ht="15" x14ac:dyDescent="0.4">
      <c r="A230" s="28"/>
      <c r="B230" s="22" t="s">
        <v>19</v>
      </c>
      <c r="C230" s="26">
        <f>'Meterading 2025'!G31</f>
        <v>10290</v>
      </c>
      <c r="D230" s="27" t="s">
        <v>20</v>
      </c>
      <c r="E230" s="25"/>
    </row>
    <row r="231" spans="1:5" x14ac:dyDescent="0.35">
      <c r="A231" s="28"/>
      <c r="B231" s="22" t="s">
        <v>21</v>
      </c>
      <c r="C231" s="67">
        <f>+C230-C229</f>
        <v>613</v>
      </c>
      <c r="D231" s="27"/>
      <c r="E231" s="25"/>
    </row>
    <row r="232" spans="1:5" ht="15" x14ac:dyDescent="0.4">
      <c r="A232" s="28"/>
      <c r="B232" s="22" t="s">
        <v>22</v>
      </c>
      <c r="C232" s="26">
        <v>200</v>
      </c>
      <c r="D232" s="27" t="s">
        <v>20</v>
      </c>
      <c r="E232" s="25"/>
    </row>
    <row r="233" spans="1:5" x14ac:dyDescent="0.35">
      <c r="A233" s="28"/>
      <c r="B233" s="22" t="s">
        <v>21</v>
      </c>
      <c r="C233" s="92">
        <f>+C231-C232</f>
        <v>413</v>
      </c>
      <c r="D233" s="27"/>
      <c r="E233" s="25"/>
    </row>
    <row r="234" spans="1:5" ht="15" thickBot="1" x14ac:dyDescent="0.4">
      <c r="A234" s="55"/>
      <c r="B234" s="56"/>
      <c r="C234" s="57"/>
      <c r="D234" s="58"/>
      <c r="E234" s="59"/>
    </row>
    <row r="235" spans="1:5" ht="15.5" thickTop="1" thickBot="1" x14ac:dyDescent="0.4">
      <c r="A235" s="29">
        <v>2</v>
      </c>
      <c r="B235" s="30" t="s">
        <v>23</v>
      </c>
      <c r="C235" s="31" t="s">
        <v>24</v>
      </c>
      <c r="D235" s="32">
        <v>150</v>
      </c>
      <c r="E235" s="54">
        <f>C227*D235</f>
        <v>186300</v>
      </c>
    </row>
    <row r="236" spans="1:5" ht="15.5" thickTop="1" thickBot="1" x14ac:dyDescent="0.4">
      <c r="A236" s="29">
        <v>3</v>
      </c>
      <c r="B236" s="30" t="s">
        <v>43</v>
      </c>
      <c r="C236" s="31" t="s">
        <v>24</v>
      </c>
      <c r="D236" s="32">
        <v>1300</v>
      </c>
      <c r="E236" s="54">
        <f>+C233*D236</f>
        <v>536900</v>
      </c>
    </row>
    <row r="237" spans="1:5" ht="15.5" thickTop="1" thickBot="1" x14ac:dyDescent="0.4">
      <c r="A237" s="34"/>
      <c r="B237" s="34"/>
      <c r="C237" s="34"/>
      <c r="D237" s="86" t="s">
        <v>25</v>
      </c>
      <c r="E237" s="54">
        <f>+E236+E235+E222</f>
        <v>3223200</v>
      </c>
    </row>
    <row r="238" spans="1:5" ht="18" thickTop="1" thickBot="1" x14ac:dyDescent="0.45">
      <c r="A238" s="231" t="s">
        <v>26</v>
      </c>
      <c r="B238" s="232"/>
      <c r="C238" s="34"/>
      <c r="D238" s="86" t="s">
        <v>27</v>
      </c>
      <c r="E238" s="84">
        <v>0</v>
      </c>
    </row>
    <row r="239" spans="1:5" ht="18" thickTop="1" thickBot="1" x14ac:dyDescent="0.45">
      <c r="A239" s="233" t="s">
        <v>45</v>
      </c>
      <c r="B239" s="234"/>
      <c r="C239" s="41"/>
      <c r="D239" s="86" t="s">
        <v>29</v>
      </c>
      <c r="E239" s="85">
        <f>(E237+E238)</f>
        <v>3223200</v>
      </c>
    </row>
    <row r="240" spans="1:5" ht="17.5" thickTop="1" x14ac:dyDescent="0.4">
      <c r="A240" s="235" t="s">
        <v>142</v>
      </c>
      <c r="B240" s="236"/>
      <c r="C240" s="41"/>
      <c r="D240" s="35"/>
      <c r="E240" s="87"/>
    </row>
    <row r="241" spans="1:5" ht="17" x14ac:dyDescent="0.4">
      <c r="A241" s="205" t="s">
        <v>80</v>
      </c>
      <c r="B241" s="206"/>
      <c r="C241" s="41"/>
      <c r="D241" s="35"/>
      <c r="E241" s="87"/>
    </row>
    <row r="242" spans="1:5" ht="17" x14ac:dyDescent="0.4">
      <c r="A242" s="205" t="s">
        <v>81</v>
      </c>
      <c r="B242" s="206"/>
      <c r="C242" s="41"/>
      <c r="D242" s="35"/>
      <c r="E242" s="87"/>
    </row>
    <row r="243" spans="1:5" x14ac:dyDescent="0.35">
      <c r="A243" s="207" t="s">
        <v>28</v>
      </c>
      <c r="B243" s="208"/>
      <c r="C243" s="3"/>
      <c r="D243" s="3"/>
      <c r="E243" s="15"/>
    </row>
    <row r="244" spans="1:5" ht="15" thickBot="1" x14ac:dyDescent="0.4">
      <c r="A244" s="209" t="s">
        <v>30</v>
      </c>
      <c r="B244" s="210"/>
      <c r="C244" s="3"/>
      <c r="D244" s="3"/>
      <c r="E244" s="15"/>
    </row>
    <row r="245" spans="1:5" ht="15" thickTop="1" x14ac:dyDescent="0.35">
      <c r="A245" s="48"/>
      <c r="B245" s="49"/>
      <c r="C245" s="3"/>
      <c r="D245" s="3"/>
      <c r="E245" s="47"/>
    </row>
    <row r="246" spans="1:5" x14ac:dyDescent="0.35">
      <c r="A246" s="211" t="s">
        <v>33</v>
      </c>
      <c r="B246" s="211"/>
      <c r="C246" s="211" t="s">
        <v>1</v>
      </c>
      <c r="D246" s="211"/>
      <c r="E246" s="211"/>
    </row>
    <row r="250" spans="1:5" x14ac:dyDescent="0.35">
      <c r="A250" s="212" t="s">
        <v>34</v>
      </c>
      <c r="B250" s="212"/>
      <c r="C250" s="268" t="s">
        <v>144</v>
      </c>
      <c r="D250" s="268"/>
      <c r="E250" s="268"/>
    </row>
    <row r="251" spans="1:5" x14ac:dyDescent="0.35">
      <c r="D251" s="60" t="s">
        <v>36</v>
      </c>
      <c r="E251" s="51"/>
    </row>
    <row r="252" spans="1:5" ht="15" thickBot="1" x14ac:dyDescent="0.4">
      <c r="D252" s="60"/>
      <c r="E252" s="51"/>
    </row>
    <row r="253" spans="1:5" ht="15.5" thickTop="1" thickBot="1" x14ac:dyDescent="0.4">
      <c r="A253" s="266" t="s">
        <v>1</v>
      </c>
      <c r="B253" s="267"/>
      <c r="C253" s="3"/>
      <c r="D253" s="116" t="s">
        <v>0</v>
      </c>
      <c r="E253" s="112" t="s">
        <v>136</v>
      </c>
    </row>
    <row r="254" spans="1:5" ht="15.5" thickTop="1" thickBot="1" x14ac:dyDescent="0.4">
      <c r="A254" s="254"/>
      <c r="B254" s="255"/>
      <c r="C254" s="3"/>
      <c r="D254" s="115" t="s">
        <v>2</v>
      </c>
      <c r="E254" s="114">
        <v>45839</v>
      </c>
    </row>
    <row r="255" spans="1:5" ht="15.5" thickTop="1" thickBot="1" x14ac:dyDescent="0.4">
      <c r="A255" s="256" t="s">
        <v>104</v>
      </c>
      <c r="B255" s="257"/>
      <c r="C255" s="3"/>
      <c r="D255" s="117" t="s">
        <v>4</v>
      </c>
      <c r="E255" s="118"/>
    </row>
    <row r="256" spans="1:5" ht="15.5" thickTop="1" thickBot="1" x14ac:dyDescent="0.4">
      <c r="A256" s="256" t="s">
        <v>77</v>
      </c>
      <c r="B256" s="257"/>
      <c r="C256" s="3"/>
      <c r="D256" s="119" t="s">
        <v>37</v>
      </c>
      <c r="E256" s="118"/>
    </row>
    <row r="257" spans="1:5" ht="15.5" thickTop="1" thickBot="1" x14ac:dyDescent="0.4">
      <c r="A257" s="256" t="s">
        <v>78</v>
      </c>
      <c r="B257" s="257"/>
      <c r="C257" s="3"/>
      <c r="D257" s="120" t="s">
        <v>38</v>
      </c>
      <c r="E257" s="121"/>
    </row>
    <row r="258" spans="1:5" ht="15.5" thickTop="1" thickBot="1" x14ac:dyDescent="0.4">
      <c r="A258" s="243" t="s">
        <v>11</v>
      </c>
      <c r="B258" s="244"/>
      <c r="D258" s="122" t="s">
        <v>39</v>
      </c>
      <c r="E258" s="123"/>
    </row>
    <row r="259" spans="1:5" ht="15.5" thickTop="1" thickBot="1" x14ac:dyDescent="0.4">
      <c r="A259" s="219" t="s">
        <v>79</v>
      </c>
      <c r="B259" s="220"/>
      <c r="C259" s="3"/>
      <c r="D259" s="117" t="s">
        <v>40</v>
      </c>
      <c r="E259" s="118"/>
    </row>
    <row r="260" spans="1:5" ht="15" thickTop="1" x14ac:dyDescent="0.35">
      <c r="A260" s="13"/>
      <c r="B260" s="13"/>
      <c r="C260" s="3"/>
      <c r="D260" s="14"/>
      <c r="E260" s="14"/>
    </row>
    <row r="261" spans="1:5" ht="29.5" x14ac:dyDescent="0.55000000000000004">
      <c r="A261" s="223" t="s">
        <v>87</v>
      </c>
      <c r="B261" s="223"/>
      <c r="C261" s="223"/>
      <c r="D261" s="223"/>
      <c r="E261" s="223"/>
    </row>
    <row r="262" spans="1:5" ht="15" thickBot="1" x14ac:dyDescent="0.4">
      <c r="A262" s="224" t="s">
        <v>134</v>
      </c>
      <c r="B262" s="224"/>
      <c r="C262" s="3"/>
      <c r="D262" s="3"/>
      <c r="E262" s="15"/>
    </row>
    <row r="263" spans="1:5" ht="15.5" thickTop="1" thickBot="1" x14ac:dyDescent="0.4">
      <c r="A263" s="16" t="s">
        <v>14</v>
      </c>
      <c r="B263" s="69" t="s">
        <v>15</v>
      </c>
      <c r="C263" s="70"/>
      <c r="D263" s="79"/>
      <c r="E263" s="17" t="s">
        <v>16</v>
      </c>
    </row>
    <row r="264" spans="1:5" ht="15" thickTop="1" x14ac:dyDescent="0.35">
      <c r="A264" s="71">
        <v>1</v>
      </c>
      <c r="B264" s="19" t="s">
        <v>49</v>
      </c>
      <c r="C264" s="20"/>
      <c r="D264" s="20"/>
      <c r="E264" s="21">
        <v>2500000</v>
      </c>
    </row>
    <row r="265" spans="1:5" x14ac:dyDescent="0.35">
      <c r="A265" s="72"/>
      <c r="B265" s="53" t="s">
        <v>44</v>
      </c>
      <c r="C265" s="34"/>
      <c r="D265" s="34"/>
      <c r="E265" s="25"/>
    </row>
    <row r="266" spans="1:5" x14ac:dyDescent="0.35">
      <c r="A266" s="72"/>
      <c r="B266" s="53" t="s">
        <v>41</v>
      </c>
      <c r="C266" s="34"/>
      <c r="D266" s="34"/>
      <c r="E266" s="25"/>
    </row>
    <row r="267" spans="1:5" x14ac:dyDescent="0.35">
      <c r="A267" s="72"/>
      <c r="B267" s="22" t="s">
        <v>18</v>
      </c>
      <c r="C267" s="52">
        <f>'Meterading 2025'!B30</f>
        <v>69441</v>
      </c>
      <c r="D267" s="24"/>
      <c r="E267" s="25"/>
    </row>
    <row r="268" spans="1:5" ht="15" x14ac:dyDescent="0.4">
      <c r="A268" s="72"/>
      <c r="B268" s="22" t="s">
        <v>19</v>
      </c>
      <c r="C268" s="26">
        <f>'Meterading 2025'!C30</f>
        <v>70711</v>
      </c>
      <c r="D268" s="27" t="s">
        <v>20</v>
      </c>
      <c r="E268" s="25"/>
    </row>
    <row r="269" spans="1:5" ht="15" thickBot="1" x14ac:dyDescent="0.4">
      <c r="A269" s="80"/>
      <c r="B269" s="22" t="s">
        <v>21</v>
      </c>
      <c r="C269" s="67">
        <f>+C268-C267</f>
        <v>1270</v>
      </c>
      <c r="D269" s="27"/>
      <c r="E269" s="25"/>
    </row>
    <row r="270" spans="1:5" ht="15" thickTop="1" x14ac:dyDescent="0.35">
      <c r="A270" s="18"/>
      <c r="B270" s="19" t="s">
        <v>42</v>
      </c>
      <c r="C270" s="20"/>
      <c r="D270" s="20"/>
      <c r="E270" s="21"/>
    </row>
    <row r="271" spans="1:5" x14ac:dyDescent="0.35">
      <c r="A271" s="28"/>
      <c r="B271" s="22" t="s">
        <v>18</v>
      </c>
      <c r="C271" s="23">
        <f>'Meterading 2025'!F11</f>
        <v>25796</v>
      </c>
      <c r="D271" s="24"/>
      <c r="E271" s="25"/>
    </row>
    <row r="272" spans="1:5" ht="15" x14ac:dyDescent="0.4">
      <c r="A272" s="28"/>
      <c r="B272" s="22" t="s">
        <v>19</v>
      </c>
      <c r="C272" s="26">
        <f>'Meterading 2025'!G11</f>
        <v>27398</v>
      </c>
      <c r="D272" s="27" t="s">
        <v>20</v>
      </c>
      <c r="E272" s="25"/>
    </row>
    <row r="273" spans="1:5" x14ac:dyDescent="0.35">
      <c r="A273" s="28"/>
      <c r="B273" s="22" t="s">
        <v>21</v>
      </c>
      <c r="C273" s="67">
        <f>+C272-C271</f>
        <v>1602</v>
      </c>
      <c r="D273" s="27"/>
      <c r="E273" s="25"/>
    </row>
    <row r="274" spans="1:5" ht="15" x14ac:dyDescent="0.4">
      <c r="A274" s="28"/>
      <c r="B274" s="22" t="s">
        <v>22</v>
      </c>
      <c r="C274" s="26">
        <v>200</v>
      </c>
      <c r="D274" s="27" t="s">
        <v>20</v>
      </c>
      <c r="E274" s="25"/>
    </row>
    <row r="275" spans="1:5" x14ac:dyDescent="0.35">
      <c r="A275" s="28"/>
      <c r="B275" s="22" t="s">
        <v>21</v>
      </c>
      <c r="C275" s="92">
        <f>+C273-C274</f>
        <v>1402</v>
      </c>
      <c r="D275" s="27"/>
      <c r="E275" s="25"/>
    </row>
    <row r="276" spans="1:5" ht="15" thickBot="1" x14ac:dyDescent="0.4">
      <c r="A276" s="55"/>
      <c r="B276" s="56"/>
      <c r="C276" s="57"/>
      <c r="D276" s="58"/>
      <c r="E276" s="59"/>
    </row>
    <row r="277" spans="1:5" ht="15.5" thickTop="1" thickBot="1" x14ac:dyDescent="0.4">
      <c r="A277" s="29">
        <v>2</v>
      </c>
      <c r="B277" s="30" t="s">
        <v>23</v>
      </c>
      <c r="C277" s="31" t="s">
        <v>24</v>
      </c>
      <c r="D277" s="32">
        <v>150</v>
      </c>
      <c r="E277" s="54">
        <f>C269*D277</f>
        <v>190500</v>
      </c>
    </row>
    <row r="278" spans="1:5" ht="15.5" thickTop="1" thickBot="1" x14ac:dyDescent="0.4">
      <c r="A278" s="29">
        <v>3</v>
      </c>
      <c r="B278" s="30" t="s">
        <v>43</v>
      </c>
      <c r="C278" s="31" t="s">
        <v>24</v>
      </c>
      <c r="D278" s="32">
        <v>1300</v>
      </c>
      <c r="E278" s="54">
        <f>+C275*D278</f>
        <v>1822600</v>
      </c>
    </row>
    <row r="279" spans="1:5" ht="15.5" thickTop="1" thickBot="1" x14ac:dyDescent="0.4">
      <c r="A279" s="34"/>
      <c r="B279" s="34"/>
      <c r="C279" s="34"/>
      <c r="D279" s="86" t="s">
        <v>25</v>
      </c>
      <c r="E279" s="54">
        <f>+E278+E277+E264</f>
        <v>4513100</v>
      </c>
    </row>
    <row r="280" spans="1:5" ht="18" thickTop="1" thickBot="1" x14ac:dyDescent="0.45">
      <c r="A280" s="231" t="s">
        <v>26</v>
      </c>
      <c r="B280" s="232"/>
      <c r="C280" s="34"/>
      <c r="D280" s="86" t="s">
        <v>27</v>
      </c>
      <c r="E280" s="84">
        <v>0</v>
      </c>
    </row>
    <row r="281" spans="1:5" ht="18" thickTop="1" thickBot="1" x14ac:dyDescent="0.45">
      <c r="A281" s="233" t="s">
        <v>45</v>
      </c>
      <c r="B281" s="234"/>
      <c r="C281" s="41"/>
      <c r="D281" s="86" t="s">
        <v>29</v>
      </c>
      <c r="E281" s="85">
        <f>(E279+E280)</f>
        <v>4513100</v>
      </c>
    </row>
    <row r="282" spans="1:5" ht="17.5" thickTop="1" x14ac:dyDescent="0.4">
      <c r="A282" s="235" t="s">
        <v>46</v>
      </c>
      <c r="B282" s="236"/>
      <c r="C282" s="41"/>
      <c r="D282" s="35"/>
      <c r="E282" s="87"/>
    </row>
    <row r="283" spans="1:5" ht="17" x14ac:dyDescent="0.4">
      <c r="A283" s="205" t="s">
        <v>80</v>
      </c>
      <c r="B283" s="206"/>
      <c r="C283" s="41"/>
      <c r="D283" s="35"/>
      <c r="E283" s="87"/>
    </row>
    <row r="284" spans="1:5" ht="17" x14ac:dyDescent="0.4">
      <c r="A284" s="205" t="s">
        <v>81</v>
      </c>
      <c r="B284" s="206"/>
      <c r="C284" s="41"/>
      <c r="D284" s="35"/>
      <c r="E284" s="87"/>
    </row>
    <row r="285" spans="1:5" x14ac:dyDescent="0.35">
      <c r="A285" s="207" t="s">
        <v>28</v>
      </c>
      <c r="B285" s="208"/>
      <c r="C285" s="3"/>
      <c r="D285" s="3"/>
      <c r="E285" s="15"/>
    </row>
    <row r="286" spans="1:5" ht="15" thickBot="1" x14ac:dyDescent="0.4">
      <c r="A286" s="209" t="s">
        <v>30</v>
      </c>
      <c r="B286" s="210"/>
      <c r="C286" s="3"/>
      <c r="D286" s="3"/>
      <c r="E286" s="15"/>
    </row>
    <row r="287" spans="1:5" ht="15" thickTop="1" x14ac:dyDescent="0.35">
      <c r="A287" s="48"/>
      <c r="B287" s="49"/>
      <c r="C287" s="3"/>
      <c r="D287" s="3"/>
      <c r="E287" s="47"/>
    </row>
    <row r="288" spans="1:5" x14ac:dyDescent="0.35">
      <c r="A288" s="211" t="s">
        <v>33</v>
      </c>
      <c r="B288" s="211"/>
      <c r="C288" s="211" t="s">
        <v>1</v>
      </c>
      <c r="D288" s="211"/>
      <c r="E288" s="211"/>
    </row>
    <row r="292" spans="1:5" x14ac:dyDescent="0.35">
      <c r="A292" s="212" t="s">
        <v>34</v>
      </c>
      <c r="B292" s="212"/>
      <c r="C292" s="247" t="s">
        <v>34</v>
      </c>
      <c r="D292" s="247"/>
      <c r="E292" s="247"/>
    </row>
    <row r="293" spans="1:5" x14ac:dyDescent="0.35">
      <c r="D293" s="60" t="s">
        <v>36</v>
      </c>
      <c r="E293" s="51"/>
    </row>
    <row r="294" spans="1:5" ht="15" thickBot="1" x14ac:dyDescent="0.4">
      <c r="D294" s="60"/>
      <c r="E294" s="51"/>
    </row>
    <row r="295" spans="1:5" ht="15.5" thickTop="1" thickBot="1" x14ac:dyDescent="0.4">
      <c r="A295" s="266" t="s">
        <v>1</v>
      </c>
      <c r="B295" s="267"/>
      <c r="C295" s="3"/>
      <c r="D295" s="116" t="s">
        <v>0</v>
      </c>
      <c r="E295" s="112" t="s">
        <v>131</v>
      </c>
    </row>
    <row r="296" spans="1:5" ht="15.5" thickTop="1" thickBot="1" x14ac:dyDescent="0.4">
      <c r="A296" s="254"/>
      <c r="B296" s="255"/>
      <c r="C296" s="3"/>
      <c r="D296" s="115" t="s">
        <v>2</v>
      </c>
      <c r="E296" s="114">
        <v>45810</v>
      </c>
    </row>
    <row r="297" spans="1:5" ht="15.5" thickTop="1" thickBot="1" x14ac:dyDescent="0.4">
      <c r="A297" s="256" t="s">
        <v>104</v>
      </c>
      <c r="B297" s="257"/>
      <c r="C297" s="3"/>
      <c r="D297" s="117" t="s">
        <v>4</v>
      </c>
      <c r="E297" s="118"/>
    </row>
    <row r="298" spans="1:5" ht="15.5" thickTop="1" thickBot="1" x14ac:dyDescent="0.4">
      <c r="A298" s="256" t="s">
        <v>77</v>
      </c>
      <c r="B298" s="257"/>
      <c r="C298" s="3"/>
      <c r="D298" s="119" t="s">
        <v>37</v>
      </c>
      <c r="E298" s="118"/>
    </row>
    <row r="299" spans="1:5" ht="15.5" thickTop="1" thickBot="1" x14ac:dyDescent="0.4">
      <c r="A299" s="256" t="s">
        <v>78</v>
      </c>
      <c r="B299" s="257"/>
      <c r="C299" s="3"/>
      <c r="D299" s="120" t="s">
        <v>38</v>
      </c>
      <c r="E299" s="121"/>
    </row>
    <row r="300" spans="1:5" ht="15.5" thickTop="1" thickBot="1" x14ac:dyDescent="0.4">
      <c r="A300" s="243" t="s">
        <v>11</v>
      </c>
      <c r="B300" s="244"/>
      <c r="D300" s="122" t="s">
        <v>39</v>
      </c>
      <c r="E300" s="123"/>
    </row>
    <row r="301" spans="1:5" ht="15.5" thickTop="1" thickBot="1" x14ac:dyDescent="0.4">
      <c r="A301" s="219" t="s">
        <v>79</v>
      </c>
      <c r="B301" s="220"/>
      <c r="C301" s="3"/>
      <c r="D301" s="117" t="s">
        <v>40</v>
      </c>
      <c r="E301" s="118"/>
    </row>
    <row r="302" spans="1:5" ht="15" thickTop="1" x14ac:dyDescent="0.35">
      <c r="A302" s="13"/>
      <c r="B302" s="13"/>
      <c r="C302" s="3"/>
      <c r="D302" s="14"/>
      <c r="E302" s="14"/>
    </row>
    <row r="303" spans="1:5" ht="29.5" x14ac:dyDescent="0.55000000000000004">
      <c r="A303" s="223" t="s">
        <v>87</v>
      </c>
      <c r="B303" s="223"/>
      <c r="C303" s="223"/>
      <c r="D303" s="223"/>
      <c r="E303" s="223"/>
    </row>
    <row r="304" spans="1:5" ht="15" thickBot="1" x14ac:dyDescent="0.4">
      <c r="A304" s="224" t="s">
        <v>133</v>
      </c>
      <c r="B304" s="224"/>
      <c r="C304" s="3"/>
      <c r="D304" s="3"/>
      <c r="E304" s="15"/>
    </row>
    <row r="305" spans="1:5" ht="15.5" thickTop="1" thickBot="1" x14ac:dyDescent="0.4">
      <c r="A305" s="16" t="s">
        <v>14</v>
      </c>
      <c r="B305" s="69" t="s">
        <v>15</v>
      </c>
      <c r="C305" s="70"/>
      <c r="D305" s="79"/>
      <c r="E305" s="17" t="s">
        <v>16</v>
      </c>
    </row>
    <row r="306" spans="1:5" ht="15" thickTop="1" x14ac:dyDescent="0.35">
      <c r="A306" s="71">
        <v>1</v>
      </c>
      <c r="B306" s="19" t="s">
        <v>49</v>
      </c>
      <c r="C306" s="20"/>
      <c r="D306" s="20"/>
      <c r="E306" s="21">
        <v>2500000</v>
      </c>
    </row>
    <row r="307" spans="1:5" x14ac:dyDescent="0.35">
      <c r="A307" s="72"/>
      <c r="B307" s="53" t="s">
        <v>44</v>
      </c>
      <c r="C307" s="34"/>
      <c r="D307" s="34"/>
      <c r="E307" s="25"/>
    </row>
    <row r="308" spans="1:5" x14ac:dyDescent="0.35">
      <c r="A308" s="72"/>
      <c r="B308" s="53" t="s">
        <v>41</v>
      </c>
      <c r="C308" s="34"/>
      <c r="D308" s="34"/>
      <c r="E308" s="25"/>
    </row>
    <row r="309" spans="1:5" x14ac:dyDescent="0.35">
      <c r="A309" s="72"/>
      <c r="B309" s="22" t="s">
        <v>18</v>
      </c>
      <c r="C309" s="52">
        <f>'Meterading 2025'!B29</f>
        <v>68217</v>
      </c>
      <c r="D309" s="24"/>
      <c r="E309" s="25"/>
    </row>
    <row r="310" spans="1:5" ht="15" x14ac:dyDescent="0.4">
      <c r="A310" s="72"/>
      <c r="B310" s="22" t="s">
        <v>19</v>
      </c>
      <c r="C310" s="26">
        <f>'Meterading 2025'!C29</f>
        <v>69441</v>
      </c>
      <c r="D310" s="27" t="s">
        <v>20</v>
      </c>
      <c r="E310" s="25"/>
    </row>
    <row r="311" spans="1:5" ht="15" thickBot="1" x14ac:dyDescent="0.4">
      <c r="A311" s="80"/>
      <c r="B311" s="22" t="s">
        <v>21</v>
      </c>
      <c r="C311" s="67">
        <f>+C310-C309</f>
        <v>1224</v>
      </c>
      <c r="D311" s="27"/>
      <c r="E311" s="25"/>
    </row>
    <row r="312" spans="1:5" ht="15" thickTop="1" x14ac:dyDescent="0.35">
      <c r="A312" s="18"/>
      <c r="B312" s="19" t="s">
        <v>42</v>
      </c>
      <c r="C312" s="20"/>
      <c r="D312" s="20"/>
      <c r="E312" s="21"/>
    </row>
    <row r="313" spans="1:5" x14ac:dyDescent="0.35">
      <c r="A313" s="28"/>
      <c r="B313" s="22" t="s">
        <v>18</v>
      </c>
      <c r="C313" s="23">
        <f>'Meterading 2025'!F29</f>
        <v>7886</v>
      </c>
      <c r="D313" s="24"/>
      <c r="E313" s="25"/>
    </row>
    <row r="314" spans="1:5" ht="15" x14ac:dyDescent="0.4">
      <c r="A314" s="28"/>
      <c r="B314" s="22" t="s">
        <v>19</v>
      </c>
      <c r="C314" s="26">
        <f>'Meterading 2025'!G29</f>
        <v>9225</v>
      </c>
      <c r="D314" s="27" t="s">
        <v>20</v>
      </c>
      <c r="E314" s="25"/>
    </row>
    <row r="315" spans="1:5" x14ac:dyDescent="0.35">
      <c r="A315" s="28"/>
      <c r="B315" s="22" t="s">
        <v>21</v>
      </c>
      <c r="C315" s="67">
        <f>+C314-C313</f>
        <v>1339</v>
      </c>
      <c r="D315" s="27"/>
      <c r="E315" s="25"/>
    </row>
    <row r="316" spans="1:5" ht="15" x14ac:dyDescent="0.4">
      <c r="A316" s="28"/>
      <c r="B316" s="22" t="s">
        <v>22</v>
      </c>
      <c r="C316" s="26">
        <v>200</v>
      </c>
      <c r="D316" s="27" t="s">
        <v>20</v>
      </c>
      <c r="E316" s="25"/>
    </row>
    <row r="317" spans="1:5" x14ac:dyDescent="0.35">
      <c r="A317" s="28"/>
      <c r="B317" s="22" t="s">
        <v>21</v>
      </c>
      <c r="C317" s="92">
        <f>+C315-C316</f>
        <v>1139</v>
      </c>
      <c r="D317" s="27"/>
      <c r="E317" s="25"/>
    </row>
    <row r="318" spans="1:5" ht="15" thickBot="1" x14ac:dyDescent="0.4">
      <c r="A318" s="55"/>
      <c r="B318" s="56"/>
      <c r="C318" s="57"/>
      <c r="D318" s="58"/>
      <c r="E318" s="59"/>
    </row>
    <row r="319" spans="1:5" ht="15.5" thickTop="1" thickBot="1" x14ac:dyDescent="0.4">
      <c r="A319" s="29">
        <v>2</v>
      </c>
      <c r="B319" s="30" t="s">
        <v>23</v>
      </c>
      <c r="C319" s="31" t="s">
        <v>24</v>
      </c>
      <c r="D319" s="32">
        <v>150</v>
      </c>
      <c r="E319" s="54">
        <f>C311*D319</f>
        <v>183600</v>
      </c>
    </row>
    <row r="320" spans="1:5" ht="15.5" thickTop="1" thickBot="1" x14ac:dyDescent="0.4">
      <c r="A320" s="29">
        <v>3</v>
      </c>
      <c r="B320" s="30" t="s">
        <v>43</v>
      </c>
      <c r="C320" s="31" t="s">
        <v>24</v>
      </c>
      <c r="D320" s="32">
        <v>1300</v>
      </c>
      <c r="E320" s="54">
        <f>+C317*D320</f>
        <v>1480700</v>
      </c>
    </row>
    <row r="321" spans="1:5" ht="15.5" thickTop="1" thickBot="1" x14ac:dyDescent="0.4">
      <c r="A321" s="34"/>
      <c r="B321" s="34"/>
      <c r="C321" s="34"/>
      <c r="D321" s="86" t="s">
        <v>25</v>
      </c>
      <c r="E321" s="54">
        <f>+E320+E319+E306</f>
        <v>4164300</v>
      </c>
    </row>
    <row r="322" spans="1:5" ht="18" thickTop="1" thickBot="1" x14ac:dyDescent="0.45">
      <c r="A322" s="231" t="s">
        <v>26</v>
      </c>
      <c r="B322" s="232"/>
      <c r="C322" s="34"/>
      <c r="D322" s="86" t="s">
        <v>27</v>
      </c>
      <c r="E322" s="84">
        <v>0</v>
      </c>
    </row>
    <row r="323" spans="1:5" ht="18" thickTop="1" thickBot="1" x14ac:dyDescent="0.45">
      <c r="A323" s="233" t="s">
        <v>45</v>
      </c>
      <c r="B323" s="234"/>
      <c r="C323" s="41"/>
      <c r="D323" s="86" t="s">
        <v>29</v>
      </c>
      <c r="E323" s="85">
        <f>(E321+E322)</f>
        <v>4164300</v>
      </c>
    </row>
    <row r="324" spans="1:5" ht="17.5" thickTop="1" x14ac:dyDescent="0.4">
      <c r="A324" s="235" t="s">
        <v>46</v>
      </c>
      <c r="B324" s="236"/>
      <c r="C324" s="41"/>
      <c r="D324" s="35"/>
      <c r="E324" s="87"/>
    </row>
    <row r="325" spans="1:5" ht="17" x14ac:dyDescent="0.4">
      <c r="A325" s="205" t="s">
        <v>80</v>
      </c>
      <c r="B325" s="206"/>
      <c r="C325" s="41"/>
      <c r="D325" s="35"/>
      <c r="E325" s="87"/>
    </row>
    <row r="326" spans="1:5" ht="17" x14ac:dyDescent="0.4">
      <c r="A326" s="205" t="s">
        <v>81</v>
      </c>
      <c r="B326" s="206"/>
      <c r="C326" s="41"/>
      <c r="D326" s="35"/>
      <c r="E326" s="87"/>
    </row>
    <row r="327" spans="1:5" x14ac:dyDescent="0.35">
      <c r="A327" s="207" t="s">
        <v>28</v>
      </c>
      <c r="B327" s="208"/>
      <c r="C327" s="3"/>
      <c r="D327" s="3"/>
      <c r="E327" s="15"/>
    </row>
    <row r="328" spans="1:5" ht="15" thickBot="1" x14ac:dyDescent="0.4">
      <c r="A328" s="209" t="s">
        <v>30</v>
      </c>
      <c r="B328" s="210"/>
      <c r="C328" s="3"/>
      <c r="D328" s="3"/>
      <c r="E328" s="15"/>
    </row>
    <row r="329" spans="1:5" ht="15" thickTop="1" x14ac:dyDescent="0.35">
      <c r="A329" s="48"/>
      <c r="B329" s="49"/>
      <c r="C329" s="3"/>
      <c r="D329" s="3"/>
      <c r="E329" s="47"/>
    </row>
    <row r="330" spans="1:5" x14ac:dyDescent="0.35">
      <c r="A330" s="211" t="s">
        <v>33</v>
      </c>
      <c r="B330" s="211"/>
      <c r="C330" s="211" t="s">
        <v>1</v>
      </c>
      <c r="D330" s="211"/>
      <c r="E330" s="211"/>
    </row>
    <row r="334" spans="1:5" x14ac:dyDescent="0.35">
      <c r="A334" s="212" t="s">
        <v>34</v>
      </c>
      <c r="B334" s="212"/>
      <c r="C334" s="247" t="s">
        <v>34</v>
      </c>
      <c r="D334" s="247"/>
      <c r="E334" s="247"/>
    </row>
    <row r="335" spans="1:5" x14ac:dyDescent="0.35">
      <c r="D335" s="60" t="s">
        <v>36</v>
      </c>
      <c r="E335" s="51"/>
    </row>
    <row r="336" spans="1:5" ht="15" thickBot="1" x14ac:dyDescent="0.4">
      <c r="D336" s="60"/>
      <c r="E336" s="51"/>
    </row>
    <row r="337" spans="1:5" ht="15.5" thickTop="1" thickBot="1" x14ac:dyDescent="0.4">
      <c r="A337" s="266" t="s">
        <v>1</v>
      </c>
      <c r="B337" s="267"/>
      <c r="C337" s="3"/>
      <c r="D337" s="116" t="s">
        <v>0</v>
      </c>
      <c r="E337" s="112" t="s">
        <v>127</v>
      </c>
    </row>
    <row r="338" spans="1:5" ht="15.5" thickTop="1" thickBot="1" x14ac:dyDescent="0.4">
      <c r="A338" s="254"/>
      <c r="B338" s="255"/>
      <c r="C338" s="3"/>
      <c r="D338" s="115" t="s">
        <v>2</v>
      </c>
      <c r="E338" s="114">
        <v>45779</v>
      </c>
    </row>
    <row r="339" spans="1:5" ht="15.5" thickTop="1" thickBot="1" x14ac:dyDescent="0.4">
      <c r="A339" s="256" t="s">
        <v>104</v>
      </c>
      <c r="B339" s="257"/>
      <c r="C339" s="3"/>
      <c r="D339" s="117" t="s">
        <v>4</v>
      </c>
      <c r="E339" s="118"/>
    </row>
    <row r="340" spans="1:5" ht="15.5" thickTop="1" thickBot="1" x14ac:dyDescent="0.4">
      <c r="A340" s="256" t="s">
        <v>77</v>
      </c>
      <c r="B340" s="257"/>
      <c r="C340" s="3"/>
      <c r="D340" s="119" t="s">
        <v>37</v>
      </c>
      <c r="E340" s="118"/>
    </row>
    <row r="341" spans="1:5" ht="15.5" thickTop="1" thickBot="1" x14ac:dyDescent="0.4">
      <c r="A341" s="256" t="s">
        <v>78</v>
      </c>
      <c r="B341" s="257"/>
      <c r="C341" s="3"/>
      <c r="D341" s="120" t="s">
        <v>38</v>
      </c>
      <c r="E341" s="121"/>
    </row>
    <row r="342" spans="1:5" ht="15.5" thickTop="1" thickBot="1" x14ac:dyDescent="0.4">
      <c r="A342" s="243" t="s">
        <v>11</v>
      </c>
      <c r="B342" s="244"/>
      <c r="D342" s="122" t="s">
        <v>39</v>
      </c>
      <c r="E342" s="123"/>
    </row>
    <row r="343" spans="1:5" ht="15.5" thickTop="1" thickBot="1" x14ac:dyDescent="0.4">
      <c r="A343" s="219" t="s">
        <v>79</v>
      </c>
      <c r="B343" s="220"/>
      <c r="C343" s="3"/>
      <c r="D343" s="117" t="s">
        <v>40</v>
      </c>
      <c r="E343" s="118"/>
    </row>
    <row r="344" spans="1:5" ht="15" thickTop="1" x14ac:dyDescent="0.35">
      <c r="A344" s="13"/>
      <c r="B344" s="13"/>
      <c r="C344" s="3"/>
      <c r="D344" s="14"/>
      <c r="E344" s="14"/>
    </row>
    <row r="345" spans="1:5" ht="29.5" x14ac:dyDescent="0.55000000000000004">
      <c r="A345" s="223" t="s">
        <v>87</v>
      </c>
      <c r="B345" s="223"/>
      <c r="C345" s="223"/>
      <c r="D345" s="223"/>
      <c r="E345" s="223"/>
    </row>
    <row r="346" spans="1:5" ht="15" thickBot="1" x14ac:dyDescent="0.4">
      <c r="A346" s="224" t="s">
        <v>125</v>
      </c>
      <c r="B346" s="224"/>
      <c r="C346" s="3"/>
      <c r="D346" s="3"/>
      <c r="E346" s="15"/>
    </row>
    <row r="347" spans="1:5" ht="15.5" thickTop="1" thickBot="1" x14ac:dyDescent="0.4">
      <c r="A347" s="16" t="s">
        <v>14</v>
      </c>
      <c r="B347" s="69" t="s">
        <v>15</v>
      </c>
      <c r="C347" s="70"/>
      <c r="D347" s="79"/>
      <c r="E347" s="17" t="s">
        <v>16</v>
      </c>
    </row>
    <row r="348" spans="1:5" ht="15" thickTop="1" x14ac:dyDescent="0.35">
      <c r="A348" s="71">
        <v>1</v>
      </c>
      <c r="B348" s="19" t="s">
        <v>49</v>
      </c>
      <c r="C348" s="20"/>
      <c r="D348" s="20"/>
      <c r="E348" s="21">
        <v>2500000</v>
      </c>
    </row>
    <row r="349" spans="1:5" x14ac:dyDescent="0.35">
      <c r="A349" s="72"/>
      <c r="B349" s="53" t="s">
        <v>44</v>
      </c>
      <c r="C349" s="34"/>
      <c r="D349" s="34"/>
      <c r="E349" s="25"/>
    </row>
    <row r="350" spans="1:5" x14ac:dyDescent="0.35">
      <c r="A350" s="72"/>
      <c r="B350" s="53" t="s">
        <v>41</v>
      </c>
      <c r="C350" s="34"/>
      <c r="D350" s="34"/>
      <c r="E350" s="25"/>
    </row>
    <row r="351" spans="1:5" x14ac:dyDescent="0.35">
      <c r="A351" s="72"/>
      <c r="B351" s="22" t="s">
        <v>18</v>
      </c>
      <c r="C351" s="52">
        <f>+'Meterading 2025'!B28</f>
        <v>67013</v>
      </c>
      <c r="D351" s="24"/>
      <c r="E351" s="25"/>
    </row>
    <row r="352" spans="1:5" ht="15" x14ac:dyDescent="0.4">
      <c r="A352" s="72"/>
      <c r="B352" s="22" t="s">
        <v>19</v>
      </c>
      <c r="C352" s="26">
        <f>+'Meterading 2025'!C28</f>
        <v>68217</v>
      </c>
      <c r="D352" s="27" t="s">
        <v>20</v>
      </c>
      <c r="E352" s="25"/>
    </row>
    <row r="353" spans="1:5" ht="15" thickBot="1" x14ac:dyDescent="0.4">
      <c r="A353" s="80"/>
      <c r="B353" s="22" t="s">
        <v>21</v>
      </c>
      <c r="C353" s="67">
        <f>+C352-C351</f>
        <v>1204</v>
      </c>
      <c r="D353" s="27"/>
      <c r="E353" s="25"/>
    </row>
    <row r="354" spans="1:5" ht="15" thickTop="1" x14ac:dyDescent="0.35">
      <c r="A354" s="18"/>
      <c r="B354" s="19" t="s">
        <v>42</v>
      </c>
      <c r="C354" s="20"/>
      <c r="D354" s="20"/>
      <c r="E354" s="21"/>
    </row>
    <row r="355" spans="1:5" x14ac:dyDescent="0.35">
      <c r="A355" s="28"/>
      <c r="B355" s="22" t="s">
        <v>18</v>
      </c>
      <c r="C355" s="23">
        <f>+'Meterading 2025'!F28</f>
        <v>7127</v>
      </c>
      <c r="D355" s="24"/>
      <c r="E355" s="25"/>
    </row>
    <row r="356" spans="1:5" ht="15" x14ac:dyDescent="0.4">
      <c r="A356" s="28"/>
      <c r="B356" s="22" t="s">
        <v>19</v>
      </c>
      <c r="C356" s="26">
        <f>+'Meterading 2025'!G28</f>
        <v>7886</v>
      </c>
      <c r="D356" s="27" t="s">
        <v>20</v>
      </c>
      <c r="E356" s="25"/>
    </row>
    <row r="357" spans="1:5" x14ac:dyDescent="0.35">
      <c r="A357" s="28"/>
      <c r="B357" s="22" t="s">
        <v>21</v>
      </c>
      <c r="C357" s="67">
        <f>+C356-C355</f>
        <v>759</v>
      </c>
      <c r="D357" s="27"/>
      <c r="E357" s="25"/>
    </row>
    <row r="358" spans="1:5" ht="15" x14ac:dyDescent="0.4">
      <c r="A358" s="28"/>
      <c r="B358" s="22" t="s">
        <v>22</v>
      </c>
      <c r="C358" s="26">
        <v>200</v>
      </c>
      <c r="D358" s="27" t="s">
        <v>20</v>
      </c>
      <c r="E358" s="25"/>
    </row>
    <row r="359" spans="1:5" x14ac:dyDescent="0.35">
      <c r="A359" s="28"/>
      <c r="B359" s="22" t="s">
        <v>21</v>
      </c>
      <c r="C359" s="92">
        <f>+C357-C358</f>
        <v>559</v>
      </c>
      <c r="D359" s="27"/>
      <c r="E359" s="25"/>
    </row>
    <row r="360" spans="1:5" ht="15" thickBot="1" x14ac:dyDescent="0.4">
      <c r="A360" s="55"/>
      <c r="B360" s="56"/>
      <c r="C360" s="57"/>
      <c r="D360" s="58"/>
      <c r="E360" s="59"/>
    </row>
    <row r="361" spans="1:5" ht="15.5" thickTop="1" thickBot="1" x14ac:dyDescent="0.4">
      <c r="A361" s="29">
        <v>2</v>
      </c>
      <c r="B361" s="30" t="s">
        <v>23</v>
      </c>
      <c r="C361" s="31" t="s">
        <v>24</v>
      </c>
      <c r="D361" s="32">
        <v>150</v>
      </c>
      <c r="E361" s="54">
        <f>C353*D361</f>
        <v>180600</v>
      </c>
    </row>
    <row r="362" spans="1:5" ht="15.5" thickTop="1" thickBot="1" x14ac:dyDescent="0.4">
      <c r="A362" s="29">
        <v>3</v>
      </c>
      <c r="B362" s="30" t="s">
        <v>43</v>
      </c>
      <c r="C362" s="31" t="s">
        <v>24</v>
      </c>
      <c r="D362" s="32">
        <v>1300</v>
      </c>
      <c r="E362" s="54">
        <f>+C359*D362</f>
        <v>726700</v>
      </c>
    </row>
    <row r="363" spans="1:5" ht="15.5" thickTop="1" thickBot="1" x14ac:dyDescent="0.4">
      <c r="A363" s="34"/>
      <c r="B363" s="34"/>
      <c r="C363" s="34"/>
      <c r="D363" s="86" t="s">
        <v>25</v>
      </c>
      <c r="E363" s="54">
        <f>+E362+E361+E348</f>
        <v>3407300</v>
      </c>
    </row>
    <row r="364" spans="1:5" ht="18" thickTop="1" thickBot="1" x14ac:dyDescent="0.45">
      <c r="A364" s="231" t="s">
        <v>26</v>
      </c>
      <c r="B364" s="232"/>
      <c r="C364" s="34"/>
      <c r="D364" s="86" t="s">
        <v>27</v>
      </c>
      <c r="E364" s="84">
        <v>0</v>
      </c>
    </row>
    <row r="365" spans="1:5" ht="18" thickTop="1" thickBot="1" x14ac:dyDescent="0.45">
      <c r="A365" s="233" t="s">
        <v>45</v>
      </c>
      <c r="B365" s="234"/>
      <c r="C365" s="41"/>
      <c r="D365" s="86" t="s">
        <v>29</v>
      </c>
      <c r="E365" s="85">
        <f>(E363+E364)</f>
        <v>3407300</v>
      </c>
    </row>
    <row r="366" spans="1:5" ht="17.5" thickTop="1" x14ac:dyDescent="0.4">
      <c r="A366" s="235" t="s">
        <v>46</v>
      </c>
      <c r="B366" s="236"/>
      <c r="C366" s="41"/>
      <c r="D366" s="35"/>
      <c r="E366" s="87"/>
    </row>
    <row r="367" spans="1:5" ht="17" x14ac:dyDescent="0.4">
      <c r="A367" s="205" t="s">
        <v>80</v>
      </c>
      <c r="B367" s="206"/>
      <c r="C367" s="41"/>
      <c r="D367" s="35"/>
      <c r="E367" s="87"/>
    </row>
    <row r="368" spans="1:5" ht="17" x14ac:dyDescent="0.4">
      <c r="A368" s="205" t="s">
        <v>81</v>
      </c>
      <c r="B368" s="206"/>
      <c r="C368" s="41"/>
      <c r="D368" s="35"/>
      <c r="E368" s="87"/>
    </row>
    <row r="369" spans="1:5" x14ac:dyDescent="0.35">
      <c r="A369" s="207" t="s">
        <v>28</v>
      </c>
      <c r="B369" s="208"/>
      <c r="C369" s="3"/>
      <c r="D369" s="3"/>
      <c r="E369" s="15"/>
    </row>
    <row r="370" spans="1:5" ht="15" thickBot="1" x14ac:dyDescent="0.4">
      <c r="A370" s="209" t="s">
        <v>30</v>
      </c>
      <c r="B370" s="210"/>
      <c r="C370" s="3"/>
      <c r="D370" s="3"/>
      <c r="E370" s="15"/>
    </row>
    <row r="371" spans="1:5" ht="15" thickTop="1" x14ac:dyDescent="0.35">
      <c r="A371" s="48"/>
      <c r="B371" s="49"/>
      <c r="C371" s="3"/>
      <c r="D371" s="3"/>
      <c r="E371" s="47"/>
    </row>
    <row r="372" spans="1:5" x14ac:dyDescent="0.35">
      <c r="A372" s="211" t="s">
        <v>33</v>
      </c>
      <c r="B372" s="211"/>
      <c r="C372" s="211" t="s">
        <v>1</v>
      </c>
      <c r="D372" s="211"/>
      <c r="E372" s="211"/>
    </row>
    <row r="376" spans="1:5" x14ac:dyDescent="0.35">
      <c r="A376" s="212" t="s">
        <v>34</v>
      </c>
      <c r="B376" s="212"/>
      <c r="C376" s="247" t="s">
        <v>34</v>
      </c>
      <c r="D376" s="247"/>
      <c r="E376" s="247"/>
    </row>
    <row r="377" spans="1:5" x14ac:dyDescent="0.35">
      <c r="D377" s="60" t="s">
        <v>36</v>
      </c>
      <c r="E377" s="51"/>
    </row>
    <row r="378" spans="1:5" ht="15" thickBot="1" x14ac:dyDescent="0.4"/>
    <row r="379" spans="1:5" ht="15.5" thickTop="1" thickBot="1" x14ac:dyDescent="0.4">
      <c r="A379" s="266" t="s">
        <v>1</v>
      </c>
      <c r="B379" s="267"/>
      <c r="C379" s="3"/>
      <c r="D379" s="116" t="s">
        <v>0</v>
      </c>
      <c r="E379" s="112" t="s">
        <v>121</v>
      </c>
    </row>
    <row r="380" spans="1:5" ht="15.5" thickTop="1" thickBot="1" x14ac:dyDescent="0.4">
      <c r="A380" s="254"/>
      <c r="B380" s="255"/>
      <c r="C380" s="3"/>
      <c r="D380" s="115" t="s">
        <v>2</v>
      </c>
      <c r="E380" s="114">
        <v>45755</v>
      </c>
    </row>
    <row r="381" spans="1:5" ht="15.5" thickTop="1" thickBot="1" x14ac:dyDescent="0.4">
      <c r="A381" s="256" t="s">
        <v>104</v>
      </c>
      <c r="B381" s="257"/>
      <c r="C381" s="3"/>
      <c r="D381" s="117" t="s">
        <v>4</v>
      </c>
      <c r="E381" s="118"/>
    </row>
    <row r="382" spans="1:5" ht="15.5" thickTop="1" thickBot="1" x14ac:dyDescent="0.4">
      <c r="A382" s="256" t="s">
        <v>77</v>
      </c>
      <c r="B382" s="257"/>
      <c r="C382" s="3"/>
      <c r="D382" s="119" t="s">
        <v>37</v>
      </c>
      <c r="E382" s="118"/>
    </row>
    <row r="383" spans="1:5" ht="15.5" thickTop="1" thickBot="1" x14ac:dyDescent="0.4">
      <c r="A383" s="256" t="s">
        <v>78</v>
      </c>
      <c r="B383" s="257"/>
      <c r="C383" s="3"/>
      <c r="D383" s="120" t="s">
        <v>38</v>
      </c>
      <c r="E383" s="121"/>
    </row>
    <row r="384" spans="1:5" ht="15.5" thickTop="1" thickBot="1" x14ac:dyDescent="0.4">
      <c r="A384" s="243" t="s">
        <v>11</v>
      </c>
      <c r="B384" s="244"/>
      <c r="D384" s="122" t="s">
        <v>39</v>
      </c>
      <c r="E384" s="123"/>
    </row>
    <row r="385" spans="1:5" ht="15.5" thickTop="1" thickBot="1" x14ac:dyDescent="0.4">
      <c r="A385" s="219" t="s">
        <v>79</v>
      </c>
      <c r="B385" s="220"/>
      <c r="C385" s="3"/>
      <c r="D385" s="117" t="s">
        <v>40</v>
      </c>
      <c r="E385" s="118"/>
    </row>
    <row r="386" spans="1:5" ht="15" thickTop="1" x14ac:dyDescent="0.35">
      <c r="A386" s="13"/>
      <c r="B386" s="13"/>
      <c r="C386" s="3"/>
      <c r="D386" s="14"/>
      <c r="E386" s="14"/>
    </row>
    <row r="387" spans="1:5" ht="15" thickBot="1" x14ac:dyDescent="0.4">
      <c r="A387" s="224" t="s">
        <v>124</v>
      </c>
      <c r="B387" s="224"/>
      <c r="C387" s="3"/>
      <c r="D387" s="3"/>
      <c r="E387" s="15"/>
    </row>
    <row r="388" spans="1:5" ht="15.5" thickTop="1" thickBot="1" x14ac:dyDescent="0.4">
      <c r="A388" s="16" t="s">
        <v>14</v>
      </c>
      <c r="B388" s="69" t="s">
        <v>15</v>
      </c>
      <c r="C388" s="70"/>
      <c r="D388" s="79"/>
      <c r="E388" s="17" t="s">
        <v>16</v>
      </c>
    </row>
    <row r="389" spans="1:5" ht="15" thickTop="1" x14ac:dyDescent="0.35">
      <c r="A389" s="71">
        <v>1</v>
      </c>
      <c r="B389" s="19" t="s">
        <v>49</v>
      </c>
      <c r="C389" s="20"/>
      <c r="D389" s="20"/>
      <c r="E389" s="21">
        <v>2500000</v>
      </c>
    </row>
    <row r="390" spans="1:5" x14ac:dyDescent="0.35">
      <c r="A390" s="72"/>
      <c r="B390" s="53" t="s">
        <v>44</v>
      </c>
      <c r="C390" s="34"/>
      <c r="D390" s="34"/>
      <c r="E390" s="25"/>
    </row>
    <row r="391" spans="1:5" x14ac:dyDescent="0.35">
      <c r="A391" s="72"/>
      <c r="B391" s="53" t="s">
        <v>41</v>
      </c>
      <c r="C391" s="34"/>
      <c r="D391" s="34"/>
      <c r="E391" s="25"/>
    </row>
    <row r="392" spans="1:5" x14ac:dyDescent="0.35">
      <c r="A392" s="72"/>
      <c r="B392" s="22" t="s">
        <v>18</v>
      </c>
      <c r="C392" s="52">
        <f>+'Meterading 2025'!B27</f>
        <v>66187</v>
      </c>
      <c r="D392" s="24"/>
      <c r="E392" s="25"/>
    </row>
    <row r="393" spans="1:5" ht="15" x14ac:dyDescent="0.4">
      <c r="A393" s="72"/>
      <c r="B393" s="22" t="s">
        <v>19</v>
      </c>
      <c r="C393" s="26">
        <f>+'Meterading 2025'!C27</f>
        <v>67013</v>
      </c>
      <c r="D393" s="27" t="s">
        <v>20</v>
      </c>
      <c r="E393" s="25"/>
    </row>
    <row r="394" spans="1:5" ht="15" thickBot="1" x14ac:dyDescent="0.4">
      <c r="A394" s="80"/>
      <c r="B394" s="22" t="s">
        <v>21</v>
      </c>
      <c r="C394" s="67">
        <f>+C393-C392</f>
        <v>826</v>
      </c>
      <c r="D394" s="27"/>
      <c r="E394" s="25"/>
    </row>
    <row r="395" spans="1:5" ht="15" thickTop="1" x14ac:dyDescent="0.35">
      <c r="A395" s="18"/>
      <c r="B395" s="19" t="s">
        <v>42</v>
      </c>
      <c r="C395" s="20"/>
      <c r="D395" s="20"/>
      <c r="E395" s="21"/>
    </row>
    <row r="396" spans="1:5" x14ac:dyDescent="0.35">
      <c r="A396" s="28"/>
      <c r="B396" s="22" t="s">
        <v>18</v>
      </c>
      <c r="C396" s="23">
        <f>+'Meterading 2025'!F27</f>
        <v>6409</v>
      </c>
      <c r="D396" s="24"/>
      <c r="E396" s="25"/>
    </row>
    <row r="397" spans="1:5" ht="15" x14ac:dyDescent="0.4">
      <c r="A397" s="28"/>
      <c r="B397" s="22" t="s">
        <v>19</v>
      </c>
      <c r="C397" s="26">
        <f>+'Meterading 2025'!G27</f>
        <v>7127</v>
      </c>
      <c r="D397" s="27" t="s">
        <v>20</v>
      </c>
      <c r="E397" s="25"/>
    </row>
    <row r="398" spans="1:5" x14ac:dyDescent="0.35">
      <c r="A398" s="28"/>
      <c r="B398" s="22" t="s">
        <v>21</v>
      </c>
      <c r="C398" s="67">
        <f>+C397-C396</f>
        <v>718</v>
      </c>
      <c r="D398" s="27"/>
      <c r="E398" s="25"/>
    </row>
    <row r="399" spans="1:5" ht="15" x14ac:dyDescent="0.4">
      <c r="A399" s="28"/>
      <c r="B399" s="22" t="s">
        <v>22</v>
      </c>
      <c r="C399" s="26">
        <v>200</v>
      </c>
      <c r="D399" s="27" t="s">
        <v>20</v>
      </c>
      <c r="E399" s="25"/>
    </row>
    <row r="400" spans="1:5" x14ac:dyDescent="0.35">
      <c r="A400" s="28"/>
      <c r="B400" s="22" t="s">
        <v>21</v>
      </c>
      <c r="C400" s="92">
        <f>+C398-C399</f>
        <v>518</v>
      </c>
      <c r="D400" s="27"/>
      <c r="E400" s="25"/>
    </row>
    <row r="401" spans="1:5" ht="15" thickBot="1" x14ac:dyDescent="0.4">
      <c r="A401" s="55"/>
      <c r="B401" s="56"/>
      <c r="C401" s="57"/>
      <c r="D401" s="58"/>
      <c r="E401" s="59"/>
    </row>
    <row r="402" spans="1:5" ht="15.5" thickTop="1" thickBot="1" x14ac:dyDescent="0.4">
      <c r="A402" s="29">
        <v>2</v>
      </c>
      <c r="B402" s="30" t="s">
        <v>23</v>
      </c>
      <c r="C402" s="31" t="s">
        <v>24</v>
      </c>
      <c r="D402" s="32">
        <v>150</v>
      </c>
      <c r="E402" s="54">
        <f>C394*D402</f>
        <v>123900</v>
      </c>
    </row>
    <row r="403" spans="1:5" ht="15.5" thickTop="1" thickBot="1" x14ac:dyDescent="0.4">
      <c r="A403" s="29">
        <v>3</v>
      </c>
      <c r="B403" s="30" t="s">
        <v>43</v>
      </c>
      <c r="C403" s="31" t="s">
        <v>24</v>
      </c>
      <c r="D403" s="32">
        <v>1300</v>
      </c>
      <c r="E403" s="54">
        <f>+C400*D403</f>
        <v>673400</v>
      </c>
    </row>
    <row r="404" spans="1:5" ht="15.5" thickTop="1" thickBot="1" x14ac:dyDescent="0.4">
      <c r="A404" s="34"/>
      <c r="B404" s="34"/>
      <c r="C404" s="34"/>
      <c r="D404" s="86" t="s">
        <v>25</v>
      </c>
      <c r="E404" s="54">
        <f>+E389+E402+E403</f>
        <v>3297300</v>
      </c>
    </row>
    <row r="405" spans="1:5" ht="18" thickTop="1" thickBot="1" x14ac:dyDescent="0.45">
      <c r="A405" s="231" t="s">
        <v>26</v>
      </c>
      <c r="B405" s="232"/>
      <c r="C405" s="34"/>
      <c r="D405" s="86" t="s">
        <v>27</v>
      </c>
      <c r="E405" s="84">
        <v>0</v>
      </c>
    </row>
    <row r="406" spans="1:5" ht="18" thickTop="1" thickBot="1" x14ac:dyDescent="0.45">
      <c r="A406" s="233" t="s">
        <v>45</v>
      </c>
      <c r="B406" s="234"/>
      <c r="C406" s="41"/>
      <c r="D406" s="86" t="s">
        <v>29</v>
      </c>
      <c r="E406" s="85">
        <f>(E404+E405)</f>
        <v>3297300</v>
      </c>
    </row>
    <row r="407" spans="1:5" ht="17.5" thickTop="1" x14ac:dyDescent="0.4">
      <c r="A407" s="235" t="s">
        <v>46</v>
      </c>
      <c r="B407" s="236"/>
      <c r="C407" s="41"/>
      <c r="D407" s="35"/>
      <c r="E407" s="87"/>
    </row>
    <row r="408" spans="1:5" ht="17" x14ac:dyDescent="0.4">
      <c r="A408" s="205" t="s">
        <v>80</v>
      </c>
      <c r="B408" s="206"/>
      <c r="C408" s="41"/>
      <c r="D408" s="35"/>
      <c r="E408" s="87"/>
    </row>
    <row r="409" spans="1:5" ht="17" x14ac:dyDescent="0.4">
      <c r="A409" s="205" t="s">
        <v>81</v>
      </c>
      <c r="B409" s="206"/>
      <c r="C409" s="41"/>
      <c r="D409" s="35"/>
      <c r="E409" s="87"/>
    </row>
    <row r="410" spans="1:5" x14ac:dyDescent="0.35">
      <c r="A410" s="207" t="s">
        <v>28</v>
      </c>
      <c r="B410" s="208"/>
      <c r="C410" s="3"/>
      <c r="D410" s="3"/>
      <c r="E410" s="15"/>
    </row>
    <row r="411" spans="1:5" ht="15" thickBot="1" x14ac:dyDescent="0.4">
      <c r="A411" s="209" t="s">
        <v>30</v>
      </c>
      <c r="B411" s="210"/>
      <c r="C411" s="3"/>
      <c r="D411" s="3"/>
      <c r="E411" s="15"/>
    </row>
    <row r="412" spans="1:5" ht="15" thickTop="1" x14ac:dyDescent="0.35">
      <c r="A412" s="48"/>
      <c r="B412" s="49"/>
      <c r="C412" s="3"/>
      <c r="D412" s="3"/>
      <c r="E412" s="47"/>
    </row>
    <row r="413" spans="1:5" x14ac:dyDescent="0.35">
      <c r="A413" s="211" t="s">
        <v>33</v>
      </c>
      <c r="B413" s="211"/>
      <c r="C413" s="211" t="s">
        <v>1</v>
      </c>
      <c r="D413" s="211"/>
      <c r="E413" s="211"/>
    </row>
    <row r="417" spans="1:5" x14ac:dyDescent="0.35">
      <c r="A417" s="212" t="s">
        <v>34</v>
      </c>
      <c r="B417" s="212"/>
      <c r="C417" s="247" t="s">
        <v>34</v>
      </c>
      <c r="D417" s="247"/>
      <c r="E417" s="247"/>
    </row>
    <row r="418" spans="1:5" x14ac:dyDescent="0.35">
      <c r="D418" s="60" t="s">
        <v>36</v>
      </c>
      <c r="E418" s="51"/>
    </row>
    <row r="419" spans="1:5" ht="15" thickBot="1" x14ac:dyDescent="0.4"/>
    <row r="420" spans="1:5" ht="15.5" thickTop="1" thickBot="1" x14ac:dyDescent="0.4">
      <c r="A420" s="266" t="s">
        <v>1</v>
      </c>
      <c r="B420" s="267"/>
      <c r="C420" s="3"/>
      <c r="D420" s="116" t="s">
        <v>0</v>
      </c>
      <c r="E420" s="112" t="s">
        <v>114</v>
      </c>
    </row>
    <row r="421" spans="1:5" ht="15.5" thickTop="1" thickBot="1" x14ac:dyDescent="0.4">
      <c r="A421" s="254"/>
      <c r="B421" s="255"/>
      <c r="C421" s="3"/>
      <c r="D421" s="115" t="s">
        <v>2</v>
      </c>
      <c r="E421" s="114">
        <v>45719</v>
      </c>
    </row>
    <row r="422" spans="1:5" ht="15.5" thickTop="1" thickBot="1" x14ac:dyDescent="0.4">
      <c r="A422" s="256" t="s">
        <v>104</v>
      </c>
      <c r="B422" s="257"/>
      <c r="C422" s="3"/>
      <c r="D422" s="117" t="s">
        <v>4</v>
      </c>
      <c r="E422" s="118"/>
    </row>
    <row r="423" spans="1:5" ht="15.5" thickTop="1" thickBot="1" x14ac:dyDescent="0.4">
      <c r="A423" s="256" t="s">
        <v>77</v>
      </c>
      <c r="B423" s="257"/>
      <c r="C423" s="3"/>
      <c r="D423" s="119" t="s">
        <v>37</v>
      </c>
      <c r="E423" s="118"/>
    </row>
    <row r="424" spans="1:5" ht="15.5" thickTop="1" thickBot="1" x14ac:dyDescent="0.4">
      <c r="A424" s="256" t="s">
        <v>78</v>
      </c>
      <c r="B424" s="257"/>
      <c r="C424" s="3"/>
      <c r="D424" s="120" t="s">
        <v>38</v>
      </c>
      <c r="E424" s="121"/>
    </row>
    <row r="425" spans="1:5" ht="15.5" thickTop="1" thickBot="1" x14ac:dyDescent="0.4">
      <c r="A425" s="243" t="s">
        <v>11</v>
      </c>
      <c r="B425" s="244"/>
      <c r="D425" s="122" t="s">
        <v>39</v>
      </c>
      <c r="E425" s="123"/>
    </row>
    <row r="426" spans="1:5" ht="15.5" thickTop="1" thickBot="1" x14ac:dyDescent="0.4">
      <c r="A426" s="219" t="s">
        <v>79</v>
      </c>
      <c r="B426" s="220"/>
      <c r="C426" s="3"/>
      <c r="D426" s="117" t="s">
        <v>40</v>
      </c>
      <c r="E426" s="118"/>
    </row>
    <row r="427" spans="1:5" ht="15" thickTop="1" x14ac:dyDescent="0.35">
      <c r="A427" s="13"/>
      <c r="B427" s="13"/>
      <c r="C427" s="3"/>
      <c r="D427" s="14"/>
      <c r="E427" s="14"/>
    </row>
    <row r="428" spans="1:5" ht="15" thickBot="1" x14ac:dyDescent="0.4">
      <c r="A428" s="224" t="s">
        <v>110</v>
      </c>
      <c r="B428" s="224"/>
      <c r="C428" s="3"/>
      <c r="D428" s="3"/>
      <c r="E428" s="15"/>
    </row>
    <row r="429" spans="1:5" ht="15.5" thickTop="1" thickBot="1" x14ac:dyDescent="0.4">
      <c r="A429" s="16" t="s">
        <v>14</v>
      </c>
      <c r="B429" s="69" t="s">
        <v>15</v>
      </c>
      <c r="C429" s="70"/>
      <c r="D429" s="79"/>
      <c r="E429" s="17" t="s">
        <v>16</v>
      </c>
    </row>
    <row r="430" spans="1:5" ht="15" thickTop="1" x14ac:dyDescent="0.35">
      <c r="A430" s="71">
        <v>1</v>
      </c>
      <c r="B430" s="19" t="s">
        <v>49</v>
      </c>
      <c r="C430" s="20"/>
      <c r="D430" s="20"/>
      <c r="E430" s="21">
        <v>2500000</v>
      </c>
    </row>
    <row r="431" spans="1:5" x14ac:dyDescent="0.35">
      <c r="A431" s="72"/>
      <c r="B431" s="53" t="s">
        <v>44</v>
      </c>
      <c r="C431" s="34"/>
      <c r="D431" s="34"/>
      <c r="E431" s="25"/>
    </row>
    <row r="432" spans="1:5" x14ac:dyDescent="0.35">
      <c r="A432" s="72"/>
      <c r="B432" s="53" t="s">
        <v>41</v>
      </c>
      <c r="C432" s="34"/>
      <c r="D432" s="34"/>
      <c r="E432" s="25"/>
    </row>
    <row r="433" spans="1:5" x14ac:dyDescent="0.35">
      <c r="A433" s="72"/>
      <c r="B433" s="22" t="s">
        <v>18</v>
      </c>
      <c r="C433" s="52">
        <f>+'Meterading 2025'!B26</f>
        <v>64828</v>
      </c>
      <c r="D433" s="24"/>
      <c r="E433" s="25"/>
    </row>
    <row r="434" spans="1:5" ht="15" x14ac:dyDescent="0.4">
      <c r="A434" s="72"/>
      <c r="B434" s="22" t="s">
        <v>19</v>
      </c>
      <c r="C434" s="26">
        <f>+'Meterading 2025'!C26</f>
        <v>66187</v>
      </c>
      <c r="D434" s="27" t="s">
        <v>20</v>
      </c>
      <c r="E434" s="25"/>
    </row>
    <row r="435" spans="1:5" ht="15" thickBot="1" x14ac:dyDescent="0.4">
      <c r="A435" s="80"/>
      <c r="B435" s="22" t="s">
        <v>21</v>
      </c>
      <c r="C435" s="67">
        <f>+C434-C433</f>
        <v>1359</v>
      </c>
      <c r="D435" s="27"/>
      <c r="E435" s="25"/>
    </row>
    <row r="436" spans="1:5" ht="15" thickTop="1" x14ac:dyDescent="0.35">
      <c r="A436" s="18"/>
      <c r="B436" s="19" t="s">
        <v>42</v>
      </c>
      <c r="C436" s="20"/>
      <c r="D436" s="20"/>
      <c r="E436" s="21"/>
    </row>
    <row r="437" spans="1:5" x14ac:dyDescent="0.35">
      <c r="A437" s="28"/>
      <c r="B437" s="22" t="s">
        <v>18</v>
      </c>
      <c r="C437" s="23">
        <f>+'Meterading 2025'!F26</f>
        <v>5973</v>
      </c>
      <c r="D437" s="24"/>
      <c r="E437" s="25"/>
    </row>
    <row r="438" spans="1:5" ht="15" x14ac:dyDescent="0.4">
      <c r="A438" s="28"/>
      <c r="B438" s="22" t="s">
        <v>19</v>
      </c>
      <c r="C438" s="26">
        <f>+'Meterading 2025'!G26</f>
        <v>6409</v>
      </c>
      <c r="D438" s="27" t="s">
        <v>20</v>
      </c>
      <c r="E438" s="25"/>
    </row>
    <row r="439" spans="1:5" x14ac:dyDescent="0.35">
      <c r="A439" s="28"/>
      <c r="B439" s="22" t="s">
        <v>21</v>
      </c>
      <c r="C439" s="67">
        <f>+C438-C437</f>
        <v>436</v>
      </c>
      <c r="D439" s="27"/>
      <c r="E439" s="25"/>
    </row>
    <row r="440" spans="1:5" ht="15" x14ac:dyDescent="0.4">
      <c r="A440" s="28"/>
      <c r="B440" s="22" t="s">
        <v>22</v>
      </c>
      <c r="C440" s="26">
        <v>200</v>
      </c>
      <c r="D440" s="27" t="s">
        <v>20</v>
      </c>
      <c r="E440" s="25"/>
    </row>
    <row r="441" spans="1:5" x14ac:dyDescent="0.35">
      <c r="A441" s="28"/>
      <c r="B441" s="22" t="s">
        <v>21</v>
      </c>
      <c r="C441" s="92">
        <f>+C439-C440</f>
        <v>236</v>
      </c>
      <c r="D441" s="27"/>
      <c r="E441" s="25"/>
    </row>
    <row r="442" spans="1:5" ht="15" thickBot="1" x14ac:dyDescent="0.4">
      <c r="A442" s="55"/>
      <c r="B442" s="56"/>
      <c r="C442" s="57"/>
      <c r="D442" s="58"/>
      <c r="E442" s="59"/>
    </row>
    <row r="443" spans="1:5" ht="15.5" thickTop="1" thickBot="1" x14ac:dyDescent="0.4">
      <c r="A443" s="29">
        <v>2</v>
      </c>
      <c r="B443" s="30" t="s">
        <v>23</v>
      </c>
      <c r="C443" s="31" t="s">
        <v>24</v>
      </c>
      <c r="D443" s="32">
        <v>150</v>
      </c>
      <c r="E443" s="54">
        <f>C435*D443</f>
        <v>203850</v>
      </c>
    </row>
    <row r="444" spans="1:5" ht="15.5" thickTop="1" thickBot="1" x14ac:dyDescent="0.4">
      <c r="A444" s="29">
        <v>3</v>
      </c>
      <c r="B444" s="30" t="s">
        <v>43</v>
      </c>
      <c r="C444" s="31" t="s">
        <v>24</v>
      </c>
      <c r="D444" s="32">
        <v>1300</v>
      </c>
      <c r="E444" s="54">
        <f>+C441*D444</f>
        <v>306800</v>
      </c>
    </row>
    <row r="445" spans="1:5" ht="15.5" thickTop="1" thickBot="1" x14ac:dyDescent="0.4">
      <c r="A445" s="34"/>
      <c r="B445" s="34"/>
      <c r="C445" s="34"/>
      <c r="D445" s="86" t="s">
        <v>25</v>
      </c>
      <c r="E445" s="54">
        <f>+E444+E443+E430</f>
        <v>3010650</v>
      </c>
    </row>
    <row r="446" spans="1:5" ht="18" thickTop="1" thickBot="1" x14ac:dyDescent="0.45">
      <c r="A446" s="231" t="s">
        <v>26</v>
      </c>
      <c r="B446" s="232"/>
      <c r="C446" s="34"/>
      <c r="D446" s="86" t="s">
        <v>27</v>
      </c>
      <c r="E446" s="84">
        <v>0</v>
      </c>
    </row>
    <row r="447" spans="1:5" ht="18" thickTop="1" thickBot="1" x14ac:dyDescent="0.45">
      <c r="A447" s="233" t="s">
        <v>45</v>
      </c>
      <c r="B447" s="234"/>
      <c r="C447" s="41"/>
      <c r="D447" s="86" t="s">
        <v>29</v>
      </c>
      <c r="E447" s="85">
        <f>(E445+E446)</f>
        <v>3010650</v>
      </c>
    </row>
    <row r="448" spans="1:5" ht="17.5" thickTop="1" x14ac:dyDescent="0.4">
      <c r="A448" s="235" t="s">
        <v>46</v>
      </c>
      <c r="B448" s="236"/>
      <c r="C448" s="41"/>
      <c r="D448" s="35"/>
      <c r="E448" s="87"/>
    </row>
    <row r="449" spans="1:5" ht="17" x14ac:dyDescent="0.4">
      <c r="A449" s="205" t="s">
        <v>80</v>
      </c>
      <c r="B449" s="206"/>
      <c r="C449" s="41"/>
      <c r="D449" s="35"/>
      <c r="E449" s="87"/>
    </row>
    <row r="450" spans="1:5" ht="17" x14ac:dyDescent="0.4">
      <c r="A450" s="205" t="s">
        <v>81</v>
      </c>
      <c r="B450" s="206"/>
      <c r="C450" s="41"/>
      <c r="D450" s="35"/>
      <c r="E450" s="87"/>
    </row>
    <row r="451" spans="1:5" x14ac:dyDescent="0.35">
      <c r="A451" s="207" t="s">
        <v>28</v>
      </c>
      <c r="B451" s="208"/>
      <c r="C451" s="3"/>
      <c r="D451" s="3"/>
      <c r="E451" s="15"/>
    </row>
    <row r="452" spans="1:5" ht="15" thickBot="1" x14ac:dyDescent="0.4">
      <c r="A452" s="209" t="s">
        <v>30</v>
      </c>
      <c r="B452" s="210"/>
      <c r="C452" s="3"/>
      <c r="D452" s="3"/>
      <c r="E452" s="15"/>
    </row>
    <row r="453" spans="1:5" ht="15" thickTop="1" x14ac:dyDescent="0.35">
      <c r="A453" s="48"/>
      <c r="B453" s="49"/>
      <c r="C453" s="3"/>
      <c r="D453" s="3"/>
      <c r="E453" s="47"/>
    </row>
    <row r="454" spans="1:5" x14ac:dyDescent="0.35">
      <c r="A454" s="211" t="s">
        <v>33</v>
      </c>
      <c r="B454" s="211"/>
      <c r="C454" s="211" t="s">
        <v>1</v>
      </c>
      <c r="D454" s="211"/>
      <c r="E454" s="211"/>
    </row>
    <row r="458" spans="1:5" x14ac:dyDescent="0.35">
      <c r="A458" s="212" t="s">
        <v>34</v>
      </c>
      <c r="B458" s="212"/>
      <c r="C458" s="247" t="s">
        <v>34</v>
      </c>
      <c r="D458" s="247"/>
      <c r="E458" s="247"/>
    </row>
    <row r="459" spans="1:5" x14ac:dyDescent="0.35">
      <c r="D459" s="60" t="s">
        <v>36</v>
      </c>
      <c r="E459" s="51"/>
    </row>
    <row r="460" spans="1:5" ht="15" thickBot="1" x14ac:dyDescent="0.4">
      <c r="D460" s="60"/>
      <c r="E460" s="51"/>
    </row>
    <row r="461" spans="1:5" ht="17" thickTop="1" thickBot="1" x14ac:dyDescent="0.5">
      <c r="A461" s="252"/>
      <c r="B461" s="253"/>
      <c r="C461" s="3"/>
      <c r="D461" s="89" t="s">
        <v>0</v>
      </c>
      <c r="E461" s="8" t="s">
        <v>108</v>
      </c>
    </row>
    <row r="462" spans="1:5" ht="27" thickTop="1" thickBot="1" x14ac:dyDescent="0.6">
      <c r="A462" s="254" t="s">
        <v>1</v>
      </c>
      <c r="B462" s="255"/>
      <c r="C462" s="3"/>
      <c r="D462" s="82" t="s">
        <v>2</v>
      </c>
      <c r="E462" s="83">
        <v>45691</v>
      </c>
    </row>
    <row r="463" spans="1:5" ht="15.5" thickTop="1" thickBot="1" x14ac:dyDescent="0.4">
      <c r="A463" s="256" t="s">
        <v>104</v>
      </c>
      <c r="B463" s="257"/>
      <c r="C463" s="3"/>
      <c r="D463" s="73" t="s">
        <v>4</v>
      </c>
      <c r="E463" s="74"/>
    </row>
    <row r="464" spans="1:5" ht="15.5" thickTop="1" thickBot="1" x14ac:dyDescent="0.4">
      <c r="A464" s="256" t="s">
        <v>77</v>
      </c>
      <c r="B464" s="257"/>
      <c r="C464" s="3"/>
      <c r="D464" s="90" t="s">
        <v>37</v>
      </c>
      <c r="E464" s="74"/>
    </row>
    <row r="465" spans="1:5" ht="15.5" thickTop="1" thickBot="1" x14ac:dyDescent="0.4">
      <c r="A465" s="256" t="s">
        <v>78</v>
      </c>
      <c r="B465" s="257"/>
      <c r="C465" s="3"/>
      <c r="D465" s="75" t="s">
        <v>38</v>
      </c>
      <c r="E465" s="76"/>
    </row>
    <row r="466" spans="1:5" ht="15.5" thickTop="1" thickBot="1" x14ac:dyDescent="0.4">
      <c r="A466" s="248" t="s">
        <v>79</v>
      </c>
      <c r="B466" s="249"/>
      <c r="D466" s="77" t="s">
        <v>39</v>
      </c>
      <c r="E466" s="78"/>
    </row>
    <row r="467" spans="1:5" ht="17" thickTop="1" thickBot="1" x14ac:dyDescent="0.5">
      <c r="A467" s="262"/>
      <c r="B467" s="263"/>
      <c r="C467" s="3"/>
      <c r="D467" s="73" t="s">
        <v>40</v>
      </c>
      <c r="E467" s="74"/>
    </row>
    <row r="468" spans="1:5" ht="15" thickTop="1" x14ac:dyDescent="0.35">
      <c r="A468" s="13"/>
      <c r="B468" s="13"/>
      <c r="C468" s="3"/>
      <c r="D468" s="14"/>
      <c r="E468" s="14"/>
    </row>
    <row r="469" spans="1:5" ht="15" thickBot="1" x14ac:dyDescent="0.4">
      <c r="A469" s="224" t="s">
        <v>105</v>
      </c>
      <c r="B469" s="224"/>
      <c r="C469" s="3"/>
      <c r="D469" s="3"/>
      <c r="E469" s="15"/>
    </row>
    <row r="470" spans="1:5" ht="15.5" thickTop="1" thickBot="1" x14ac:dyDescent="0.4">
      <c r="A470" s="16" t="s">
        <v>14</v>
      </c>
      <c r="B470" s="69" t="s">
        <v>15</v>
      </c>
      <c r="C470" s="70"/>
      <c r="D470" s="79"/>
      <c r="E470" s="17" t="s">
        <v>16</v>
      </c>
    </row>
    <row r="471" spans="1:5" ht="15" thickTop="1" x14ac:dyDescent="0.35">
      <c r="A471" s="71">
        <v>1</v>
      </c>
      <c r="B471" s="19" t="s">
        <v>49</v>
      </c>
      <c r="C471" s="20"/>
      <c r="D471" s="20"/>
      <c r="E471" s="21">
        <v>2500000</v>
      </c>
    </row>
    <row r="472" spans="1:5" x14ac:dyDescent="0.35">
      <c r="A472" s="72"/>
      <c r="B472" s="53" t="s">
        <v>44</v>
      </c>
      <c r="C472" s="34"/>
      <c r="D472" s="34"/>
      <c r="E472" s="25"/>
    </row>
    <row r="473" spans="1:5" x14ac:dyDescent="0.35">
      <c r="A473" s="72"/>
      <c r="B473" s="53" t="s">
        <v>41</v>
      </c>
      <c r="C473" s="34"/>
      <c r="D473" s="34"/>
      <c r="E473" s="25"/>
    </row>
    <row r="474" spans="1:5" x14ac:dyDescent="0.35">
      <c r="A474" s="72"/>
      <c r="B474" s="22" t="s">
        <v>18</v>
      </c>
      <c r="C474" s="52">
        <v>63270</v>
      </c>
      <c r="D474" s="24"/>
      <c r="E474" s="25"/>
    </row>
    <row r="475" spans="1:5" ht="15" x14ac:dyDescent="0.4">
      <c r="A475" s="72"/>
      <c r="B475" s="22" t="s">
        <v>19</v>
      </c>
      <c r="C475" s="26">
        <v>64828</v>
      </c>
      <c r="D475" s="27" t="s">
        <v>20</v>
      </c>
      <c r="E475" s="25"/>
    </row>
    <row r="476" spans="1:5" ht="15" thickBot="1" x14ac:dyDescent="0.4">
      <c r="A476" s="80"/>
      <c r="B476" s="22" t="s">
        <v>21</v>
      </c>
      <c r="C476" s="67">
        <f>+C475-C474</f>
        <v>1558</v>
      </c>
      <c r="D476" s="27"/>
      <c r="E476" s="25"/>
    </row>
    <row r="477" spans="1:5" ht="15" thickTop="1" x14ac:dyDescent="0.35">
      <c r="A477" s="18"/>
      <c r="B477" s="19" t="s">
        <v>42</v>
      </c>
      <c r="C477" s="20"/>
      <c r="D477" s="20"/>
      <c r="E477" s="21"/>
    </row>
    <row r="478" spans="1:5" x14ac:dyDescent="0.35">
      <c r="A478" s="28"/>
      <c r="B478" s="22" t="s">
        <v>18</v>
      </c>
      <c r="C478" s="23">
        <v>4863</v>
      </c>
      <c r="D478" s="24"/>
      <c r="E478" s="25"/>
    </row>
    <row r="479" spans="1:5" ht="15" x14ac:dyDescent="0.4">
      <c r="A479" s="28"/>
      <c r="B479" s="22" t="s">
        <v>19</v>
      </c>
      <c r="C479" s="26">
        <v>5973</v>
      </c>
      <c r="D479" s="27" t="s">
        <v>20</v>
      </c>
      <c r="E479" s="25"/>
    </row>
    <row r="480" spans="1:5" x14ac:dyDescent="0.35">
      <c r="A480" s="28"/>
      <c r="B480" s="22" t="s">
        <v>21</v>
      </c>
      <c r="C480" s="67">
        <f>+C479-C478</f>
        <v>1110</v>
      </c>
      <c r="D480" s="27"/>
      <c r="E480" s="25"/>
    </row>
    <row r="481" spans="1:5" ht="15" x14ac:dyDescent="0.4">
      <c r="A481" s="28"/>
      <c r="B481" s="22" t="s">
        <v>22</v>
      </c>
      <c r="C481" s="26">
        <v>200</v>
      </c>
      <c r="D481" s="27" t="s">
        <v>20</v>
      </c>
      <c r="E481" s="25"/>
    </row>
    <row r="482" spans="1:5" x14ac:dyDescent="0.35">
      <c r="A482" s="28"/>
      <c r="B482" s="22" t="s">
        <v>21</v>
      </c>
      <c r="C482" s="92">
        <v>0</v>
      </c>
      <c r="D482" s="27"/>
      <c r="E482" s="25"/>
    </row>
    <row r="483" spans="1:5" ht="15" thickBot="1" x14ac:dyDescent="0.4">
      <c r="A483" s="55"/>
      <c r="B483" s="56"/>
      <c r="C483" s="57"/>
      <c r="D483" s="58"/>
      <c r="E483" s="59"/>
    </row>
    <row r="484" spans="1:5" ht="15.5" thickTop="1" thickBot="1" x14ac:dyDescent="0.4">
      <c r="A484" s="29">
        <v>2</v>
      </c>
      <c r="B484" s="30" t="s">
        <v>23</v>
      </c>
      <c r="C484" s="31" t="s">
        <v>24</v>
      </c>
      <c r="D484" s="32">
        <v>150</v>
      </c>
      <c r="E484" s="54">
        <f>C476*D484</f>
        <v>233700</v>
      </c>
    </row>
    <row r="485" spans="1:5" ht="15.5" thickTop="1" thickBot="1" x14ac:dyDescent="0.4">
      <c r="A485" s="29">
        <v>3</v>
      </c>
      <c r="B485" s="30" t="s">
        <v>43</v>
      </c>
      <c r="C485" s="31" t="s">
        <v>24</v>
      </c>
      <c r="D485" s="32">
        <v>1300</v>
      </c>
      <c r="E485" s="54">
        <v>0</v>
      </c>
    </row>
    <row r="486" spans="1:5" ht="15.5" thickTop="1" thickBot="1" x14ac:dyDescent="0.4">
      <c r="A486" s="34"/>
      <c r="B486" s="34"/>
      <c r="C486" s="34"/>
      <c r="D486" s="86" t="s">
        <v>25</v>
      </c>
      <c r="E486" s="54">
        <f>E471+E484</f>
        <v>2733700</v>
      </c>
    </row>
    <row r="487" spans="1:5" ht="18" thickTop="1" thickBot="1" x14ac:dyDescent="0.45">
      <c r="A487" s="231" t="s">
        <v>26</v>
      </c>
      <c r="B487" s="232"/>
      <c r="C487" s="34"/>
      <c r="D487" s="86" t="s">
        <v>27</v>
      </c>
      <c r="E487" s="84">
        <v>0</v>
      </c>
    </row>
    <row r="488" spans="1:5" ht="18" thickTop="1" thickBot="1" x14ac:dyDescent="0.45">
      <c r="A488" s="233" t="s">
        <v>45</v>
      </c>
      <c r="B488" s="234"/>
      <c r="C488" s="41"/>
      <c r="D488" s="86" t="s">
        <v>29</v>
      </c>
      <c r="E488" s="85">
        <f>(E486+E487)</f>
        <v>2733700</v>
      </c>
    </row>
    <row r="489" spans="1:5" ht="17.5" thickTop="1" x14ac:dyDescent="0.4">
      <c r="A489" s="235" t="s">
        <v>46</v>
      </c>
      <c r="B489" s="236"/>
      <c r="C489" s="41"/>
      <c r="D489" s="35"/>
      <c r="E489" s="87"/>
    </row>
    <row r="490" spans="1:5" ht="17" x14ac:dyDescent="0.4">
      <c r="A490" s="205" t="s">
        <v>80</v>
      </c>
      <c r="B490" s="206"/>
      <c r="C490" s="41"/>
      <c r="D490" s="35"/>
      <c r="E490" s="87"/>
    </row>
    <row r="491" spans="1:5" ht="17" x14ac:dyDescent="0.4">
      <c r="A491" s="205" t="s">
        <v>81</v>
      </c>
      <c r="B491" s="206"/>
      <c r="C491" s="41"/>
      <c r="D491" s="35"/>
      <c r="E491" s="87"/>
    </row>
    <row r="492" spans="1:5" x14ac:dyDescent="0.35">
      <c r="A492" s="207" t="s">
        <v>28</v>
      </c>
      <c r="B492" s="208"/>
      <c r="C492" s="3"/>
      <c r="D492" s="3"/>
      <c r="E492" s="15"/>
    </row>
    <row r="493" spans="1:5" ht="15" thickBot="1" x14ac:dyDescent="0.4">
      <c r="A493" s="209" t="s">
        <v>30</v>
      </c>
      <c r="B493" s="210"/>
      <c r="C493" s="3"/>
      <c r="D493" s="3"/>
      <c r="E493" s="15"/>
    </row>
    <row r="494" spans="1:5" ht="15" thickTop="1" x14ac:dyDescent="0.35">
      <c r="A494" s="48"/>
      <c r="B494" s="49"/>
      <c r="C494" s="3"/>
      <c r="D494" s="3"/>
      <c r="E494" s="47"/>
    </row>
    <row r="495" spans="1:5" x14ac:dyDescent="0.35">
      <c r="A495" s="211" t="s">
        <v>33</v>
      </c>
      <c r="B495" s="211"/>
      <c r="C495" s="211" t="s">
        <v>1</v>
      </c>
      <c r="D495" s="211"/>
      <c r="E495" s="211"/>
    </row>
    <row r="499" spans="1:5" x14ac:dyDescent="0.35">
      <c r="A499" s="212" t="s">
        <v>34</v>
      </c>
      <c r="B499" s="212"/>
      <c r="C499" s="247" t="s">
        <v>34</v>
      </c>
      <c r="D499" s="247"/>
      <c r="E499" s="247"/>
    </row>
    <row r="500" spans="1:5" x14ac:dyDescent="0.35">
      <c r="D500" s="60" t="s">
        <v>36</v>
      </c>
      <c r="E500" s="51"/>
    </row>
    <row r="501" spans="1:5" x14ac:dyDescent="0.35">
      <c r="E501"/>
    </row>
    <row r="502" spans="1:5" x14ac:dyDescent="0.35">
      <c r="E502"/>
    </row>
    <row r="503" spans="1:5" x14ac:dyDescent="0.35">
      <c r="E503"/>
    </row>
    <row r="504" spans="1:5" x14ac:dyDescent="0.35">
      <c r="E504"/>
    </row>
    <row r="505" spans="1:5" x14ac:dyDescent="0.35">
      <c r="E505"/>
    </row>
    <row r="506" spans="1:5" x14ac:dyDescent="0.35">
      <c r="E506"/>
    </row>
    <row r="507" spans="1:5" x14ac:dyDescent="0.35">
      <c r="E507"/>
    </row>
    <row r="508" spans="1:5" x14ac:dyDescent="0.35">
      <c r="E508"/>
    </row>
    <row r="509" spans="1:5" x14ac:dyDescent="0.35">
      <c r="E509"/>
    </row>
    <row r="510" spans="1:5" x14ac:dyDescent="0.35">
      <c r="E510"/>
    </row>
    <row r="511" spans="1:5" x14ac:dyDescent="0.35">
      <c r="E511"/>
    </row>
    <row r="512" spans="1:5" x14ac:dyDescent="0.35">
      <c r="E512"/>
    </row>
    <row r="513" spans="5:5" x14ac:dyDescent="0.35">
      <c r="E513"/>
    </row>
    <row r="514" spans="5:5" x14ac:dyDescent="0.35">
      <c r="E514"/>
    </row>
    <row r="515" spans="5:5" x14ac:dyDescent="0.35">
      <c r="E515"/>
    </row>
    <row r="516" spans="5:5" x14ac:dyDescent="0.35">
      <c r="E516"/>
    </row>
    <row r="517" spans="5:5" x14ac:dyDescent="0.35">
      <c r="E517"/>
    </row>
    <row r="518" spans="5:5" x14ac:dyDescent="0.35">
      <c r="E518"/>
    </row>
    <row r="519" spans="5:5" x14ac:dyDescent="0.35">
      <c r="E519"/>
    </row>
    <row r="520" spans="5:5" x14ac:dyDescent="0.35">
      <c r="E520"/>
    </row>
    <row r="521" spans="5:5" x14ac:dyDescent="0.35">
      <c r="E521"/>
    </row>
    <row r="522" spans="5:5" x14ac:dyDescent="0.35">
      <c r="E522"/>
    </row>
    <row r="523" spans="5:5" x14ac:dyDescent="0.35">
      <c r="E523"/>
    </row>
    <row r="524" spans="5:5" x14ac:dyDescent="0.35">
      <c r="E524"/>
    </row>
    <row r="525" spans="5:5" x14ac:dyDescent="0.35">
      <c r="E525"/>
    </row>
    <row r="526" spans="5:5" x14ac:dyDescent="0.35">
      <c r="E526"/>
    </row>
    <row r="527" spans="5:5" x14ac:dyDescent="0.35">
      <c r="E527"/>
    </row>
    <row r="528" spans="5:5" x14ac:dyDescent="0.35">
      <c r="E528"/>
    </row>
    <row r="529" spans="5:5" x14ac:dyDescent="0.35">
      <c r="E529"/>
    </row>
    <row r="530" spans="5:5" x14ac:dyDescent="0.35">
      <c r="E530"/>
    </row>
    <row r="531" spans="5:5" x14ac:dyDescent="0.35">
      <c r="E531"/>
    </row>
    <row r="532" spans="5:5" x14ac:dyDescent="0.35">
      <c r="E532"/>
    </row>
    <row r="533" spans="5:5" x14ac:dyDescent="0.35">
      <c r="E533"/>
    </row>
    <row r="534" spans="5:5" x14ac:dyDescent="0.35">
      <c r="E534"/>
    </row>
    <row r="535" spans="5:5" x14ac:dyDescent="0.35">
      <c r="E535"/>
    </row>
    <row r="536" spans="5:5" x14ac:dyDescent="0.35">
      <c r="E536"/>
    </row>
    <row r="537" spans="5:5" x14ac:dyDescent="0.35">
      <c r="E537"/>
    </row>
    <row r="538" spans="5:5" x14ac:dyDescent="0.35">
      <c r="E538"/>
    </row>
    <row r="539" spans="5:5" x14ac:dyDescent="0.35">
      <c r="E539"/>
    </row>
    <row r="540" spans="5:5" x14ac:dyDescent="0.35">
      <c r="E540"/>
    </row>
    <row r="541" spans="5:5" x14ac:dyDescent="0.35">
      <c r="E541"/>
    </row>
    <row r="542" spans="5:5" x14ac:dyDescent="0.35">
      <c r="E542"/>
    </row>
    <row r="543" spans="5:5" x14ac:dyDescent="0.35">
      <c r="E543"/>
    </row>
    <row r="544" spans="5:5" x14ac:dyDescent="0.35">
      <c r="E544"/>
    </row>
    <row r="545" spans="5:5" x14ac:dyDescent="0.35">
      <c r="E545"/>
    </row>
    <row r="546" spans="5:5" x14ac:dyDescent="0.35">
      <c r="E546"/>
    </row>
    <row r="547" spans="5:5" x14ac:dyDescent="0.35">
      <c r="E547"/>
    </row>
    <row r="548" spans="5:5" x14ac:dyDescent="0.35">
      <c r="E548"/>
    </row>
    <row r="549" spans="5:5" x14ac:dyDescent="0.35">
      <c r="E549"/>
    </row>
    <row r="550" spans="5:5" x14ac:dyDescent="0.35">
      <c r="E550"/>
    </row>
    <row r="551" spans="5:5" x14ac:dyDescent="0.35">
      <c r="E551"/>
    </row>
    <row r="552" spans="5:5" x14ac:dyDescent="0.35">
      <c r="E552"/>
    </row>
    <row r="553" spans="5:5" x14ac:dyDescent="0.35">
      <c r="E553"/>
    </row>
    <row r="554" spans="5:5" x14ac:dyDescent="0.35">
      <c r="E554"/>
    </row>
    <row r="555" spans="5:5" x14ac:dyDescent="0.35">
      <c r="E555"/>
    </row>
    <row r="556" spans="5:5" x14ac:dyDescent="0.35">
      <c r="E556"/>
    </row>
    <row r="557" spans="5:5" x14ac:dyDescent="0.35">
      <c r="E557"/>
    </row>
    <row r="558" spans="5:5" x14ac:dyDescent="0.35">
      <c r="E558"/>
    </row>
    <row r="559" spans="5:5" x14ac:dyDescent="0.35">
      <c r="E559"/>
    </row>
    <row r="560" spans="5:5" x14ac:dyDescent="0.35">
      <c r="E560"/>
    </row>
    <row r="561" spans="5:5" x14ac:dyDescent="0.35">
      <c r="E561"/>
    </row>
    <row r="562" spans="5:5" x14ac:dyDescent="0.35">
      <c r="E562"/>
    </row>
    <row r="563" spans="5:5" x14ac:dyDescent="0.35">
      <c r="E563"/>
    </row>
    <row r="564" spans="5:5" x14ac:dyDescent="0.35">
      <c r="E564"/>
    </row>
    <row r="565" spans="5:5" x14ac:dyDescent="0.35">
      <c r="E565"/>
    </row>
    <row r="566" spans="5:5" x14ac:dyDescent="0.35">
      <c r="E566"/>
    </row>
    <row r="567" spans="5:5" x14ac:dyDescent="0.35">
      <c r="E567"/>
    </row>
    <row r="568" spans="5:5" x14ac:dyDescent="0.35">
      <c r="E568"/>
    </row>
    <row r="569" spans="5:5" x14ac:dyDescent="0.35">
      <c r="E569"/>
    </row>
    <row r="570" spans="5:5" x14ac:dyDescent="0.35">
      <c r="E570"/>
    </row>
    <row r="571" spans="5:5" x14ac:dyDescent="0.35">
      <c r="E571"/>
    </row>
    <row r="572" spans="5:5" x14ac:dyDescent="0.35">
      <c r="E572"/>
    </row>
    <row r="573" spans="5:5" x14ac:dyDescent="0.35">
      <c r="E573"/>
    </row>
    <row r="574" spans="5:5" x14ac:dyDescent="0.35">
      <c r="E574"/>
    </row>
    <row r="575" spans="5:5" x14ac:dyDescent="0.35">
      <c r="E575"/>
    </row>
    <row r="576" spans="5:5" x14ac:dyDescent="0.35">
      <c r="E576"/>
    </row>
    <row r="577" spans="5:5" x14ac:dyDescent="0.35">
      <c r="E577"/>
    </row>
    <row r="578" spans="5:5" x14ac:dyDescent="0.35">
      <c r="E578"/>
    </row>
    <row r="579" spans="5:5" x14ac:dyDescent="0.35">
      <c r="E579"/>
    </row>
    <row r="580" spans="5:5" x14ac:dyDescent="0.35">
      <c r="E580"/>
    </row>
    <row r="581" spans="5:5" x14ac:dyDescent="0.35">
      <c r="E581"/>
    </row>
    <row r="582" spans="5:5" x14ac:dyDescent="0.35">
      <c r="E582"/>
    </row>
    <row r="583" spans="5:5" x14ac:dyDescent="0.35">
      <c r="E583"/>
    </row>
    <row r="584" spans="5:5" x14ac:dyDescent="0.35">
      <c r="E584"/>
    </row>
    <row r="585" spans="5:5" x14ac:dyDescent="0.35">
      <c r="E585"/>
    </row>
    <row r="586" spans="5:5" x14ac:dyDescent="0.35">
      <c r="E586"/>
    </row>
    <row r="587" spans="5:5" x14ac:dyDescent="0.35">
      <c r="E587"/>
    </row>
    <row r="588" spans="5:5" x14ac:dyDescent="0.35">
      <c r="E588"/>
    </row>
    <row r="589" spans="5:5" x14ac:dyDescent="0.35">
      <c r="E589"/>
    </row>
    <row r="590" spans="5:5" x14ac:dyDescent="0.35">
      <c r="E590"/>
    </row>
    <row r="591" spans="5:5" x14ac:dyDescent="0.35">
      <c r="E591"/>
    </row>
    <row r="592" spans="5:5" x14ac:dyDescent="0.35">
      <c r="E592"/>
    </row>
    <row r="593" spans="5:5" x14ac:dyDescent="0.35">
      <c r="E593"/>
    </row>
    <row r="594" spans="5:5" x14ac:dyDescent="0.35">
      <c r="E594"/>
    </row>
    <row r="595" spans="5:5" x14ac:dyDescent="0.35">
      <c r="E595"/>
    </row>
    <row r="596" spans="5:5" x14ac:dyDescent="0.35">
      <c r="E596"/>
    </row>
    <row r="597" spans="5:5" x14ac:dyDescent="0.35">
      <c r="E597"/>
    </row>
    <row r="598" spans="5:5" x14ac:dyDescent="0.35">
      <c r="E598"/>
    </row>
    <row r="599" spans="5:5" x14ac:dyDescent="0.35">
      <c r="E599"/>
    </row>
    <row r="600" spans="5:5" x14ac:dyDescent="0.35">
      <c r="E600"/>
    </row>
    <row r="601" spans="5:5" x14ac:dyDescent="0.35">
      <c r="E601"/>
    </row>
    <row r="602" spans="5:5" x14ac:dyDescent="0.35">
      <c r="E602"/>
    </row>
    <row r="603" spans="5:5" x14ac:dyDescent="0.35">
      <c r="E603"/>
    </row>
    <row r="604" spans="5:5" x14ac:dyDescent="0.35">
      <c r="E604"/>
    </row>
    <row r="605" spans="5:5" x14ac:dyDescent="0.35">
      <c r="E605"/>
    </row>
    <row r="606" spans="5:5" x14ac:dyDescent="0.35">
      <c r="E606"/>
    </row>
    <row r="607" spans="5:5" x14ac:dyDescent="0.35">
      <c r="E607"/>
    </row>
    <row r="608" spans="5:5" x14ac:dyDescent="0.35">
      <c r="E608"/>
    </row>
    <row r="609" spans="5:5" x14ac:dyDescent="0.35">
      <c r="E609"/>
    </row>
    <row r="610" spans="5:5" x14ac:dyDescent="0.35">
      <c r="E610"/>
    </row>
    <row r="611" spans="5:5" x14ac:dyDescent="0.35">
      <c r="E611"/>
    </row>
    <row r="612" spans="5:5" x14ac:dyDescent="0.35">
      <c r="E612"/>
    </row>
    <row r="613" spans="5:5" x14ac:dyDescent="0.35">
      <c r="E613"/>
    </row>
    <row r="614" spans="5:5" x14ac:dyDescent="0.35">
      <c r="E614"/>
    </row>
    <row r="615" spans="5:5" x14ac:dyDescent="0.35">
      <c r="E615"/>
    </row>
    <row r="616" spans="5:5" x14ac:dyDescent="0.35">
      <c r="E616"/>
    </row>
    <row r="617" spans="5:5" x14ac:dyDescent="0.35">
      <c r="E617"/>
    </row>
    <row r="618" spans="5:5" x14ac:dyDescent="0.35">
      <c r="E618"/>
    </row>
    <row r="619" spans="5:5" x14ac:dyDescent="0.35">
      <c r="E619"/>
    </row>
    <row r="620" spans="5:5" x14ac:dyDescent="0.35">
      <c r="E620"/>
    </row>
    <row r="621" spans="5:5" x14ac:dyDescent="0.35">
      <c r="E621"/>
    </row>
    <row r="622" spans="5:5" x14ac:dyDescent="0.35">
      <c r="E622"/>
    </row>
    <row r="623" spans="5:5" x14ac:dyDescent="0.35">
      <c r="E623"/>
    </row>
    <row r="624" spans="5:5" x14ac:dyDescent="0.35">
      <c r="E624"/>
    </row>
    <row r="625" spans="5:5" x14ac:dyDescent="0.35">
      <c r="E625"/>
    </row>
    <row r="626" spans="5:5" x14ac:dyDescent="0.35">
      <c r="E626"/>
    </row>
    <row r="627" spans="5:5" x14ac:dyDescent="0.35">
      <c r="E627"/>
    </row>
    <row r="628" spans="5:5" x14ac:dyDescent="0.35">
      <c r="E628"/>
    </row>
    <row r="629" spans="5:5" x14ac:dyDescent="0.35">
      <c r="E629"/>
    </row>
    <row r="630" spans="5:5" x14ac:dyDescent="0.35">
      <c r="E630"/>
    </row>
    <row r="631" spans="5:5" x14ac:dyDescent="0.35">
      <c r="E631"/>
    </row>
    <row r="632" spans="5:5" x14ac:dyDescent="0.35">
      <c r="E632"/>
    </row>
    <row r="633" spans="5:5" x14ac:dyDescent="0.35">
      <c r="E633"/>
    </row>
    <row r="634" spans="5:5" x14ac:dyDescent="0.35">
      <c r="E634"/>
    </row>
    <row r="635" spans="5:5" x14ac:dyDescent="0.35">
      <c r="E635"/>
    </row>
    <row r="636" spans="5:5" x14ac:dyDescent="0.35">
      <c r="E636"/>
    </row>
    <row r="637" spans="5:5" x14ac:dyDescent="0.35">
      <c r="E637"/>
    </row>
    <row r="638" spans="5:5" x14ac:dyDescent="0.35">
      <c r="E638"/>
    </row>
    <row r="639" spans="5:5" x14ac:dyDescent="0.35">
      <c r="E639"/>
    </row>
    <row r="640" spans="5:5" x14ac:dyDescent="0.35">
      <c r="E640"/>
    </row>
    <row r="641" spans="5:5" x14ac:dyDescent="0.35">
      <c r="E641"/>
    </row>
    <row r="642" spans="5:5" x14ac:dyDescent="0.35">
      <c r="E642"/>
    </row>
    <row r="643" spans="5:5" x14ac:dyDescent="0.35">
      <c r="E643"/>
    </row>
    <row r="644" spans="5:5" x14ac:dyDescent="0.35">
      <c r="E644"/>
    </row>
    <row r="645" spans="5:5" x14ac:dyDescent="0.35">
      <c r="E645"/>
    </row>
    <row r="646" spans="5:5" x14ac:dyDescent="0.35">
      <c r="E646"/>
    </row>
    <row r="647" spans="5:5" x14ac:dyDescent="0.35">
      <c r="E647"/>
    </row>
    <row r="648" spans="5:5" x14ac:dyDescent="0.35">
      <c r="E648"/>
    </row>
    <row r="649" spans="5:5" x14ac:dyDescent="0.35">
      <c r="E649"/>
    </row>
    <row r="650" spans="5:5" x14ac:dyDescent="0.35">
      <c r="E650"/>
    </row>
    <row r="651" spans="5:5" x14ac:dyDescent="0.35">
      <c r="E651"/>
    </row>
    <row r="652" spans="5:5" x14ac:dyDescent="0.35">
      <c r="E652"/>
    </row>
    <row r="653" spans="5:5" x14ac:dyDescent="0.35">
      <c r="E653"/>
    </row>
    <row r="654" spans="5:5" x14ac:dyDescent="0.35">
      <c r="E654"/>
    </row>
    <row r="655" spans="5:5" x14ac:dyDescent="0.35">
      <c r="E655"/>
    </row>
    <row r="656" spans="5:5" x14ac:dyDescent="0.35">
      <c r="E656"/>
    </row>
    <row r="657" spans="5:5" x14ac:dyDescent="0.35">
      <c r="E657"/>
    </row>
    <row r="658" spans="5:5" x14ac:dyDescent="0.35">
      <c r="E658"/>
    </row>
    <row r="659" spans="5:5" x14ac:dyDescent="0.35">
      <c r="E659"/>
    </row>
    <row r="660" spans="5:5" x14ac:dyDescent="0.35">
      <c r="E660"/>
    </row>
    <row r="661" spans="5:5" x14ac:dyDescent="0.35">
      <c r="E661"/>
    </row>
    <row r="662" spans="5:5" x14ac:dyDescent="0.35">
      <c r="E662"/>
    </row>
    <row r="663" spans="5:5" x14ac:dyDescent="0.35">
      <c r="E663"/>
    </row>
    <row r="664" spans="5:5" x14ac:dyDescent="0.35">
      <c r="E664"/>
    </row>
    <row r="665" spans="5:5" x14ac:dyDescent="0.35">
      <c r="E665"/>
    </row>
    <row r="666" spans="5:5" x14ac:dyDescent="0.35">
      <c r="E666"/>
    </row>
    <row r="667" spans="5:5" x14ac:dyDescent="0.35">
      <c r="E667"/>
    </row>
    <row r="668" spans="5:5" x14ac:dyDescent="0.35">
      <c r="E668"/>
    </row>
    <row r="669" spans="5:5" x14ac:dyDescent="0.35">
      <c r="E669"/>
    </row>
    <row r="670" spans="5:5" x14ac:dyDescent="0.35">
      <c r="E670"/>
    </row>
    <row r="671" spans="5:5" x14ac:dyDescent="0.35">
      <c r="E671"/>
    </row>
    <row r="672" spans="5:5" x14ac:dyDescent="0.35">
      <c r="E672"/>
    </row>
    <row r="673" spans="5:5" x14ac:dyDescent="0.35">
      <c r="E673"/>
    </row>
    <row r="674" spans="5:5" x14ac:dyDescent="0.35">
      <c r="E674"/>
    </row>
    <row r="675" spans="5:5" x14ac:dyDescent="0.35">
      <c r="E675"/>
    </row>
    <row r="676" spans="5:5" x14ac:dyDescent="0.35">
      <c r="E676"/>
    </row>
    <row r="677" spans="5:5" x14ac:dyDescent="0.35">
      <c r="E677"/>
    </row>
    <row r="678" spans="5:5" x14ac:dyDescent="0.35">
      <c r="E678"/>
    </row>
    <row r="679" spans="5:5" x14ac:dyDescent="0.35">
      <c r="E679"/>
    </row>
    <row r="680" spans="5:5" x14ac:dyDescent="0.35">
      <c r="E680"/>
    </row>
    <row r="681" spans="5:5" x14ac:dyDescent="0.35">
      <c r="E681"/>
    </row>
    <row r="682" spans="5:5" x14ac:dyDescent="0.35">
      <c r="E682"/>
    </row>
    <row r="683" spans="5:5" x14ac:dyDescent="0.35">
      <c r="E683"/>
    </row>
    <row r="684" spans="5:5" x14ac:dyDescent="0.35">
      <c r="E684"/>
    </row>
    <row r="685" spans="5:5" x14ac:dyDescent="0.35">
      <c r="E685"/>
    </row>
    <row r="686" spans="5:5" x14ac:dyDescent="0.35">
      <c r="E686"/>
    </row>
    <row r="687" spans="5:5" x14ac:dyDescent="0.35">
      <c r="E687"/>
    </row>
    <row r="688" spans="5:5" x14ac:dyDescent="0.35">
      <c r="E688"/>
    </row>
    <row r="689" spans="5:5" x14ac:dyDescent="0.35">
      <c r="E689"/>
    </row>
    <row r="690" spans="5:5" x14ac:dyDescent="0.35">
      <c r="E690"/>
    </row>
    <row r="691" spans="5:5" x14ac:dyDescent="0.35">
      <c r="E691"/>
    </row>
    <row r="692" spans="5:5" x14ac:dyDescent="0.35">
      <c r="E692"/>
    </row>
    <row r="693" spans="5:5" x14ac:dyDescent="0.35">
      <c r="E693"/>
    </row>
    <row r="694" spans="5:5" x14ac:dyDescent="0.35">
      <c r="E694"/>
    </row>
    <row r="695" spans="5:5" x14ac:dyDescent="0.35">
      <c r="E695"/>
    </row>
    <row r="696" spans="5:5" x14ac:dyDescent="0.35">
      <c r="E696"/>
    </row>
    <row r="697" spans="5:5" x14ac:dyDescent="0.35">
      <c r="E697"/>
    </row>
    <row r="698" spans="5:5" x14ac:dyDescent="0.35">
      <c r="E698"/>
    </row>
    <row r="699" spans="5:5" x14ac:dyDescent="0.35">
      <c r="E699"/>
    </row>
    <row r="700" spans="5:5" x14ac:dyDescent="0.35">
      <c r="E700"/>
    </row>
    <row r="701" spans="5:5" x14ac:dyDescent="0.35">
      <c r="E701"/>
    </row>
    <row r="702" spans="5:5" x14ac:dyDescent="0.35">
      <c r="E702"/>
    </row>
    <row r="703" spans="5:5" x14ac:dyDescent="0.35">
      <c r="E703"/>
    </row>
    <row r="704" spans="5:5" x14ac:dyDescent="0.35">
      <c r="E704"/>
    </row>
    <row r="705" spans="5:5" x14ac:dyDescent="0.35">
      <c r="E705"/>
    </row>
    <row r="706" spans="5:5" x14ac:dyDescent="0.35">
      <c r="E706"/>
    </row>
    <row r="707" spans="5:5" x14ac:dyDescent="0.35">
      <c r="E707"/>
    </row>
    <row r="708" spans="5:5" x14ac:dyDescent="0.35">
      <c r="E708"/>
    </row>
    <row r="709" spans="5:5" x14ac:dyDescent="0.35">
      <c r="E709"/>
    </row>
    <row r="710" spans="5:5" x14ac:dyDescent="0.35">
      <c r="E710"/>
    </row>
    <row r="711" spans="5:5" x14ac:dyDescent="0.35">
      <c r="E711"/>
    </row>
    <row r="712" spans="5:5" x14ac:dyDescent="0.35">
      <c r="E712"/>
    </row>
    <row r="713" spans="5:5" x14ac:dyDescent="0.35">
      <c r="E713"/>
    </row>
    <row r="714" spans="5:5" x14ac:dyDescent="0.35">
      <c r="E714"/>
    </row>
    <row r="715" spans="5:5" x14ac:dyDescent="0.35">
      <c r="E715"/>
    </row>
    <row r="716" spans="5:5" x14ac:dyDescent="0.35">
      <c r="E716"/>
    </row>
    <row r="717" spans="5:5" x14ac:dyDescent="0.35">
      <c r="E717"/>
    </row>
    <row r="718" spans="5:5" x14ac:dyDescent="0.35">
      <c r="E718"/>
    </row>
    <row r="719" spans="5:5" x14ac:dyDescent="0.35">
      <c r="E719"/>
    </row>
    <row r="720" spans="5:5" x14ac:dyDescent="0.35">
      <c r="E720"/>
    </row>
    <row r="721" spans="5:5" x14ac:dyDescent="0.35">
      <c r="E721"/>
    </row>
    <row r="722" spans="5:5" x14ac:dyDescent="0.35">
      <c r="E722"/>
    </row>
    <row r="723" spans="5:5" x14ac:dyDescent="0.35">
      <c r="E723"/>
    </row>
    <row r="724" spans="5:5" x14ac:dyDescent="0.35">
      <c r="E724"/>
    </row>
    <row r="725" spans="5:5" x14ac:dyDescent="0.35">
      <c r="E725"/>
    </row>
    <row r="726" spans="5:5" x14ac:dyDescent="0.35">
      <c r="E726"/>
    </row>
    <row r="727" spans="5:5" x14ac:dyDescent="0.35">
      <c r="E727"/>
    </row>
    <row r="728" spans="5:5" x14ac:dyDescent="0.35">
      <c r="E728"/>
    </row>
    <row r="729" spans="5:5" x14ac:dyDescent="0.35">
      <c r="E729"/>
    </row>
    <row r="730" spans="5:5" x14ac:dyDescent="0.35">
      <c r="E730"/>
    </row>
    <row r="731" spans="5:5" x14ac:dyDescent="0.35">
      <c r="E731"/>
    </row>
    <row r="732" spans="5:5" x14ac:dyDescent="0.35">
      <c r="E732"/>
    </row>
    <row r="733" spans="5:5" x14ac:dyDescent="0.35">
      <c r="E733"/>
    </row>
    <row r="734" spans="5:5" x14ac:dyDescent="0.35">
      <c r="E734"/>
    </row>
    <row r="735" spans="5:5" x14ac:dyDescent="0.35">
      <c r="E735"/>
    </row>
    <row r="736" spans="5:5" x14ac:dyDescent="0.35">
      <c r="E736"/>
    </row>
    <row r="737" spans="5:5" x14ac:dyDescent="0.35">
      <c r="E737"/>
    </row>
    <row r="738" spans="5:5" x14ac:dyDescent="0.35">
      <c r="E738"/>
    </row>
    <row r="739" spans="5:5" x14ac:dyDescent="0.35">
      <c r="E739"/>
    </row>
    <row r="740" spans="5:5" x14ac:dyDescent="0.35">
      <c r="E740"/>
    </row>
    <row r="741" spans="5:5" x14ac:dyDescent="0.35">
      <c r="E741"/>
    </row>
    <row r="742" spans="5:5" x14ac:dyDescent="0.35">
      <c r="E742"/>
    </row>
    <row r="743" spans="5:5" x14ac:dyDescent="0.35">
      <c r="E743"/>
    </row>
    <row r="744" spans="5:5" x14ac:dyDescent="0.35">
      <c r="E744"/>
    </row>
    <row r="745" spans="5:5" x14ac:dyDescent="0.35">
      <c r="E745"/>
    </row>
    <row r="746" spans="5:5" x14ac:dyDescent="0.35">
      <c r="E746"/>
    </row>
    <row r="747" spans="5:5" x14ac:dyDescent="0.35">
      <c r="E747"/>
    </row>
    <row r="748" spans="5:5" x14ac:dyDescent="0.35">
      <c r="E748"/>
    </row>
    <row r="749" spans="5:5" x14ac:dyDescent="0.35">
      <c r="E749"/>
    </row>
    <row r="750" spans="5:5" x14ac:dyDescent="0.35">
      <c r="E750"/>
    </row>
    <row r="751" spans="5:5" x14ac:dyDescent="0.35">
      <c r="E751"/>
    </row>
    <row r="752" spans="5:5" x14ac:dyDescent="0.35">
      <c r="E752"/>
    </row>
    <row r="753" spans="5:5" x14ac:dyDescent="0.35">
      <c r="E753"/>
    </row>
    <row r="754" spans="5:5" x14ac:dyDescent="0.35">
      <c r="E754"/>
    </row>
    <row r="755" spans="5:5" x14ac:dyDescent="0.35">
      <c r="E755"/>
    </row>
    <row r="756" spans="5:5" x14ac:dyDescent="0.35">
      <c r="E756"/>
    </row>
    <row r="757" spans="5:5" x14ac:dyDescent="0.35">
      <c r="E757"/>
    </row>
    <row r="758" spans="5:5" x14ac:dyDescent="0.35">
      <c r="E758"/>
    </row>
    <row r="759" spans="5:5" x14ac:dyDescent="0.35">
      <c r="E759"/>
    </row>
    <row r="760" spans="5:5" x14ac:dyDescent="0.35">
      <c r="E760"/>
    </row>
    <row r="761" spans="5:5" x14ac:dyDescent="0.35">
      <c r="E761"/>
    </row>
    <row r="762" spans="5:5" x14ac:dyDescent="0.35">
      <c r="E762"/>
    </row>
    <row r="763" spans="5:5" x14ac:dyDescent="0.35">
      <c r="E763"/>
    </row>
    <row r="764" spans="5:5" x14ac:dyDescent="0.35">
      <c r="E764"/>
    </row>
    <row r="765" spans="5:5" x14ac:dyDescent="0.35">
      <c r="E765"/>
    </row>
    <row r="766" spans="5:5" x14ac:dyDescent="0.35">
      <c r="E766"/>
    </row>
    <row r="767" spans="5:5" x14ac:dyDescent="0.35">
      <c r="E767"/>
    </row>
    <row r="768" spans="5:5" x14ac:dyDescent="0.35">
      <c r="E768"/>
    </row>
    <row r="769" spans="5:5" x14ac:dyDescent="0.35">
      <c r="E769"/>
    </row>
    <row r="770" spans="5:5" x14ac:dyDescent="0.35">
      <c r="E770"/>
    </row>
    <row r="771" spans="5:5" x14ac:dyDescent="0.35">
      <c r="E771"/>
    </row>
    <row r="772" spans="5:5" x14ac:dyDescent="0.35">
      <c r="E772"/>
    </row>
    <row r="773" spans="5:5" x14ac:dyDescent="0.35">
      <c r="E773"/>
    </row>
    <row r="774" spans="5:5" x14ac:dyDescent="0.35">
      <c r="E774"/>
    </row>
    <row r="775" spans="5:5" x14ac:dyDescent="0.35">
      <c r="E775"/>
    </row>
    <row r="776" spans="5:5" x14ac:dyDescent="0.35">
      <c r="E776"/>
    </row>
    <row r="777" spans="5:5" x14ac:dyDescent="0.35">
      <c r="E777"/>
    </row>
    <row r="778" spans="5:5" x14ac:dyDescent="0.35">
      <c r="E778"/>
    </row>
    <row r="779" spans="5:5" x14ac:dyDescent="0.35">
      <c r="E779"/>
    </row>
    <row r="780" spans="5:5" x14ac:dyDescent="0.35">
      <c r="E780"/>
    </row>
    <row r="781" spans="5:5" x14ac:dyDescent="0.35">
      <c r="E781"/>
    </row>
    <row r="782" spans="5:5" x14ac:dyDescent="0.35">
      <c r="E782"/>
    </row>
    <row r="783" spans="5:5" x14ac:dyDescent="0.35">
      <c r="E783"/>
    </row>
    <row r="784" spans="5:5" x14ac:dyDescent="0.35">
      <c r="E784"/>
    </row>
    <row r="785" spans="5:5" x14ac:dyDescent="0.35">
      <c r="E785"/>
    </row>
    <row r="786" spans="5:5" x14ac:dyDescent="0.35">
      <c r="E786"/>
    </row>
    <row r="787" spans="5:5" x14ac:dyDescent="0.35">
      <c r="E787"/>
    </row>
    <row r="788" spans="5:5" x14ac:dyDescent="0.35">
      <c r="E788"/>
    </row>
    <row r="789" spans="5:5" x14ac:dyDescent="0.35">
      <c r="E789"/>
    </row>
    <row r="790" spans="5:5" x14ac:dyDescent="0.35">
      <c r="E790"/>
    </row>
    <row r="791" spans="5:5" x14ac:dyDescent="0.35">
      <c r="E791"/>
    </row>
    <row r="792" spans="5:5" x14ac:dyDescent="0.35">
      <c r="E792"/>
    </row>
    <row r="793" spans="5:5" x14ac:dyDescent="0.35">
      <c r="E793"/>
    </row>
    <row r="794" spans="5:5" x14ac:dyDescent="0.35">
      <c r="E794"/>
    </row>
    <row r="795" spans="5:5" x14ac:dyDescent="0.35">
      <c r="E795"/>
    </row>
    <row r="796" spans="5:5" x14ac:dyDescent="0.35">
      <c r="E796"/>
    </row>
    <row r="797" spans="5:5" x14ac:dyDescent="0.35">
      <c r="E797"/>
    </row>
    <row r="798" spans="5:5" x14ac:dyDescent="0.35">
      <c r="E798"/>
    </row>
    <row r="799" spans="5:5" x14ac:dyDescent="0.35">
      <c r="E799"/>
    </row>
    <row r="800" spans="5:5" x14ac:dyDescent="0.35">
      <c r="E800"/>
    </row>
    <row r="801" spans="5:5" x14ac:dyDescent="0.35">
      <c r="E801"/>
    </row>
    <row r="802" spans="5:5" x14ac:dyDescent="0.35">
      <c r="E802"/>
    </row>
    <row r="803" spans="5:5" x14ac:dyDescent="0.35">
      <c r="E803"/>
    </row>
    <row r="804" spans="5:5" x14ac:dyDescent="0.35">
      <c r="E804"/>
    </row>
    <row r="805" spans="5:5" x14ac:dyDescent="0.35">
      <c r="E805"/>
    </row>
    <row r="806" spans="5:5" x14ac:dyDescent="0.35">
      <c r="E806"/>
    </row>
    <row r="807" spans="5:5" x14ac:dyDescent="0.35">
      <c r="E807"/>
    </row>
    <row r="808" spans="5:5" x14ac:dyDescent="0.35">
      <c r="E808"/>
    </row>
    <row r="809" spans="5:5" x14ac:dyDescent="0.35">
      <c r="E809"/>
    </row>
    <row r="810" spans="5:5" x14ac:dyDescent="0.35">
      <c r="E810"/>
    </row>
    <row r="811" spans="5:5" x14ac:dyDescent="0.35">
      <c r="E811"/>
    </row>
    <row r="812" spans="5:5" x14ac:dyDescent="0.35">
      <c r="E812"/>
    </row>
    <row r="813" spans="5:5" x14ac:dyDescent="0.35">
      <c r="E813"/>
    </row>
    <row r="814" spans="5:5" x14ac:dyDescent="0.35">
      <c r="E814"/>
    </row>
    <row r="815" spans="5:5" x14ac:dyDescent="0.35">
      <c r="E815"/>
    </row>
    <row r="816" spans="5:5" x14ac:dyDescent="0.35">
      <c r="E816"/>
    </row>
    <row r="817" spans="5:5" x14ac:dyDescent="0.35">
      <c r="E817"/>
    </row>
    <row r="818" spans="5:5" x14ac:dyDescent="0.35">
      <c r="E818"/>
    </row>
    <row r="819" spans="5:5" x14ac:dyDescent="0.35">
      <c r="E819"/>
    </row>
    <row r="820" spans="5:5" x14ac:dyDescent="0.35">
      <c r="E820"/>
    </row>
    <row r="821" spans="5:5" x14ac:dyDescent="0.35">
      <c r="E821"/>
    </row>
    <row r="822" spans="5:5" x14ac:dyDescent="0.35">
      <c r="E822"/>
    </row>
    <row r="823" spans="5:5" x14ac:dyDescent="0.35">
      <c r="E823"/>
    </row>
    <row r="824" spans="5:5" x14ac:dyDescent="0.35">
      <c r="E824"/>
    </row>
    <row r="825" spans="5:5" x14ac:dyDescent="0.35">
      <c r="E825"/>
    </row>
    <row r="826" spans="5:5" x14ac:dyDescent="0.35">
      <c r="E826"/>
    </row>
    <row r="827" spans="5:5" x14ac:dyDescent="0.35">
      <c r="E827"/>
    </row>
    <row r="828" spans="5:5" x14ac:dyDescent="0.35">
      <c r="E828"/>
    </row>
    <row r="829" spans="5:5" x14ac:dyDescent="0.35">
      <c r="E829"/>
    </row>
    <row r="830" spans="5:5" x14ac:dyDescent="0.35">
      <c r="E830"/>
    </row>
    <row r="831" spans="5:5" x14ac:dyDescent="0.35">
      <c r="E831"/>
    </row>
    <row r="832" spans="5:5" x14ac:dyDescent="0.35">
      <c r="E832"/>
    </row>
    <row r="833" spans="5:5" x14ac:dyDescent="0.35">
      <c r="E833"/>
    </row>
    <row r="834" spans="5:5" x14ac:dyDescent="0.35">
      <c r="E834"/>
    </row>
    <row r="835" spans="5:5" x14ac:dyDescent="0.35">
      <c r="E835"/>
    </row>
    <row r="836" spans="5:5" x14ac:dyDescent="0.35">
      <c r="E836"/>
    </row>
    <row r="837" spans="5:5" x14ac:dyDescent="0.35">
      <c r="E837"/>
    </row>
    <row r="838" spans="5:5" x14ac:dyDescent="0.35">
      <c r="E838"/>
    </row>
    <row r="839" spans="5:5" x14ac:dyDescent="0.35">
      <c r="E839"/>
    </row>
    <row r="840" spans="5:5" x14ac:dyDescent="0.35">
      <c r="E840"/>
    </row>
    <row r="841" spans="5:5" x14ac:dyDescent="0.35">
      <c r="E841"/>
    </row>
    <row r="842" spans="5:5" x14ac:dyDescent="0.35">
      <c r="E842"/>
    </row>
    <row r="843" spans="5:5" x14ac:dyDescent="0.35">
      <c r="E843"/>
    </row>
    <row r="844" spans="5:5" x14ac:dyDescent="0.35">
      <c r="E844"/>
    </row>
    <row r="845" spans="5:5" x14ac:dyDescent="0.35">
      <c r="E845"/>
    </row>
    <row r="846" spans="5:5" x14ac:dyDescent="0.35">
      <c r="E846"/>
    </row>
    <row r="847" spans="5:5" x14ac:dyDescent="0.35">
      <c r="E847"/>
    </row>
    <row r="848" spans="5:5" x14ac:dyDescent="0.35">
      <c r="E848"/>
    </row>
    <row r="849" spans="5:5" x14ac:dyDescent="0.35">
      <c r="E849"/>
    </row>
    <row r="850" spans="5:5" x14ac:dyDescent="0.35">
      <c r="E850"/>
    </row>
    <row r="851" spans="5:5" x14ac:dyDescent="0.35">
      <c r="E851"/>
    </row>
    <row r="852" spans="5:5" x14ac:dyDescent="0.35">
      <c r="E852"/>
    </row>
    <row r="853" spans="5:5" x14ac:dyDescent="0.35">
      <c r="E853"/>
    </row>
    <row r="854" spans="5:5" x14ac:dyDescent="0.35">
      <c r="E854"/>
    </row>
    <row r="855" spans="5:5" x14ac:dyDescent="0.35">
      <c r="E855"/>
    </row>
    <row r="856" spans="5:5" x14ac:dyDescent="0.35">
      <c r="E856"/>
    </row>
    <row r="857" spans="5:5" x14ac:dyDescent="0.35">
      <c r="E857"/>
    </row>
    <row r="858" spans="5:5" x14ac:dyDescent="0.35">
      <c r="E858"/>
    </row>
    <row r="859" spans="5:5" x14ac:dyDescent="0.35">
      <c r="E859"/>
    </row>
    <row r="860" spans="5:5" x14ac:dyDescent="0.35">
      <c r="E860"/>
    </row>
    <row r="861" spans="5:5" x14ac:dyDescent="0.35">
      <c r="E861"/>
    </row>
    <row r="862" spans="5:5" x14ac:dyDescent="0.35">
      <c r="E862"/>
    </row>
    <row r="863" spans="5:5" x14ac:dyDescent="0.35">
      <c r="E863"/>
    </row>
    <row r="864" spans="5:5" x14ac:dyDescent="0.35">
      <c r="E864"/>
    </row>
    <row r="865" spans="5:5" x14ac:dyDescent="0.35">
      <c r="E865"/>
    </row>
    <row r="866" spans="5:5" x14ac:dyDescent="0.35">
      <c r="E866"/>
    </row>
    <row r="867" spans="5:5" x14ac:dyDescent="0.35">
      <c r="E867"/>
    </row>
    <row r="868" spans="5:5" x14ac:dyDescent="0.35">
      <c r="E868"/>
    </row>
    <row r="869" spans="5:5" x14ac:dyDescent="0.35">
      <c r="E869"/>
    </row>
    <row r="870" spans="5:5" x14ac:dyDescent="0.35">
      <c r="E870"/>
    </row>
    <row r="871" spans="5:5" x14ac:dyDescent="0.35">
      <c r="E871"/>
    </row>
    <row r="872" spans="5:5" x14ac:dyDescent="0.35">
      <c r="E872"/>
    </row>
    <row r="873" spans="5:5" x14ac:dyDescent="0.35">
      <c r="E873"/>
    </row>
    <row r="874" spans="5:5" x14ac:dyDescent="0.35">
      <c r="E874"/>
    </row>
    <row r="875" spans="5:5" x14ac:dyDescent="0.35">
      <c r="E875"/>
    </row>
    <row r="876" spans="5:5" x14ac:dyDescent="0.35">
      <c r="E876"/>
    </row>
    <row r="877" spans="5:5" x14ac:dyDescent="0.35">
      <c r="E877"/>
    </row>
    <row r="878" spans="5:5" x14ac:dyDescent="0.35">
      <c r="E878"/>
    </row>
    <row r="879" spans="5:5" x14ac:dyDescent="0.35">
      <c r="E879"/>
    </row>
    <row r="880" spans="5:5" x14ac:dyDescent="0.35">
      <c r="E880"/>
    </row>
    <row r="881" spans="5:5" x14ac:dyDescent="0.35">
      <c r="E881"/>
    </row>
    <row r="882" spans="5:5" x14ac:dyDescent="0.35">
      <c r="E882"/>
    </row>
    <row r="883" spans="5:5" x14ac:dyDescent="0.35">
      <c r="E883"/>
    </row>
    <row r="884" spans="5:5" x14ac:dyDescent="0.35">
      <c r="E884"/>
    </row>
    <row r="885" spans="5:5" x14ac:dyDescent="0.35">
      <c r="E885"/>
    </row>
    <row r="886" spans="5:5" x14ac:dyDescent="0.35">
      <c r="E886"/>
    </row>
    <row r="887" spans="5:5" x14ac:dyDescent="0.35">
      <c r="E887"/>
    </row>
    <row r="888" spans="5:5" x14ac:dyDescent="0.35">
      <c r="E888"/>
    </row>
    <row r="889" spans="5:5" x14ac:dyDescent="0.35">
      <c r="E889"/>
    </row>
    <row r="890" spans="5:5" x14ac:dyDescent="0.35">
      <c r="E890"/>
    </row>
    <row r="891" spans="5:5" x14ac:dyDescent="0.35">
      <c r="E891"/>
    </row>
    <row r="892" spans="5:5" x14ac:dyDescent="0.35">
      <c r="E892"/>
    </row>
    <row r="893" spans="5:5" x14ac:dyDescent="0.35">
      <c r="E893"/>
    </row>
    <row r="894" spans="5:5" x14ac:dyDescent="0.35">
      <c r="E894"/>
    </row>
    <row r="895" spans="5:5" x14ac:dyDescent="0.35">
      <c r="E895"/>
    </row>
    <row r="896" spans="5:5" x14ac:dyDescent="0.35">
      <c r="E896"/>
    </row>
    <row r="897" spans="5:5" x14ac:dyDescent="0.35">
      <c r="E897"/>
    </row>
    <row r="898" spans="5:5" x14ac:dyDescent="0.35">
      <c r="E898"/>
    </row>
    <row r="899" spans="5:5" x14ac:dyDescent="0.35">
      <c r="E899"/>
    </row>
    <row r="900" spans="5:5" x14ac:dyDescent="0.35">
      <c r="E900"/>
    </row>
    <row r="901" spans="5:5" x14ac:dyDescent="0.35">
      <c r="E901"/>
    </row>
    <row r="902" spans="5:5" x14ac:dyDescent="0.35">
      <c r="E902"/>
    </row>
    <row r="903" spans="5:5" x14ac:dyDescent="0.35">
      <c r="E903"/>
    </row>
    <row r="904" spans="5:5" x14ac:dyDescent="0.35">
      <c r="E904"/>
    </row>
    <row r="905" spans="5:5" x14ac:dyDescent="0.35">
      <c r="E905"/>
    </row>
    <row r="906" spans="5:5" x14ac:dyDescent="0.35">
      <c r="E906"/>
    </row>
    <row r="907" spans="5:5" x14ac:dyDescent="0.35">
      <c r="E907"/>
    </row>
    <row r="908" spans="5:5" x14ac:dyDescent="0.35">
      <c r="E908"/>
    </row>
    <row r="909" spans="5:5" x14ac:dyDescent="0.35">
      <c r="E909"/>
    </row>
    <row r="910" spans="5:5" x14ac:dyDescent="0.35">
      <c r="E910"/>
    </row>
    <row r="911" spans="5:5" x14ac:dyDescent="0.35">
      <c r="E911"/>
    </row>
    <row r="912" spans="5:5" x14ac:dyDescent="0.35">
      <c r="E912"/>
    </row>
    <row r="913" spans="5:5" x14ac:dyDescent="0.35">
      <c r="E913"/>
    </row>
    <row r="914" spans="5:5" x14ac:dyDescent="0.35">
      <c r="E914"/>
    </row>
    <row r="915" spans="5:5" x14ac:dyDescent="0.35">
      <c r="E915"/>
    </row>
    <row r="916" spans="5:5" x14ac:dyDescent="0.35">
      <c r="E916"/>
    </row>
    <row r="917" spans="5:5" x14ac:dyDescent="0.35">
      <c r="E917"/>
    </row>
    <row r="918" spans="5:5" x14ac:dyDescent="0.35">
      <c r="E918"/>
    </row>
    <row r="919" spans="5:5" x14ac:dyDescent="0.35">
      <c r="E919"/>
    </row>
    <row r="920" spans="5:5" x14ac:dyDescent="0.35">
      <c r="E920"/>
    </row>
    <row r="921" spans="5:5" x14ac:dyDescent="0.35">
      <c r="E921"/>
    </row>
    <row r="922" spans="5:5" x14ac:dyDescent="0.35">
      <c r="E922"/>
    </row>
    <row r="923" spans="5:5" x14ac:dyDescent="0.35">
      <c r="E923"/>
    </row>
    <row r="924" spans="5:5" x14ac:dyDescent="0.35">
      <c r="E924"/>
    </row>
    <row r="925" spans="5:5" x14ac:dyDescent="0.35">
      <c r="E925"/>
    </row>
    <row r="926" spans="5:5" x14ac:dyDescent="0.35">
      <c r="E926"/>
    </row>
    <row r="927" spans="5:5" x14ac:dyDescent="0.35">
      <c r="E927"/>
    </row>
    <row r="928" spans="5:5" x14ac:dyDescent="0.35">
      <c r="E928"/>
    </row>
    <row r="929" spans="5:5" x14ac:dyDescent="0.35">
      <c r="E929"/>
    </row>
    <row r="930" spans="5:5" x14ac:dyDescent="0.35">
      <c r="E930"/>
    </row>
    <row r="931" spans="5:5" x14ac:dyDescent="0.35">
      <c r="E931"/>
    </row>
    <row r="932" spans="5:5" x14ac:dyDescent="0.35">
      <c r="E932"/>
    </row>
    <row r="933" spans="5:5" x14ac:dyDescent="0.35">
      <c r="E933"/>
    </row>
    <row r="934" spans="5:5" x14ac:dyDescent="0.35">
      <c r="E934"/>
    </row>
    <row r="935" spans="5:5" x14ac:dyDescent="0.35">
      <c r="E935"/>
    </row>
    <row r="936" spans="5:5" x14ac:dyDescent="0.35">
      <c r="E936"/>
    </row>
    <row r="937" spans="5:5" x14ac:dyDescent="0.35">
      <c r="E937"/>
    </row>
    <row r="938" spans="5:5" x14ac:dyDescent="0.35">
      <c r="E938"/>
    </row>
    <row r="939" spans="5:5" x14ac:dyDescent="0.35">
      <c r="E939"/>
    </row>
    <row r="940" spans="5:5" x14ac:dyDescent="0.35">
      <c r="E940"/>
    </row>
    <row r="941" spans="5:5" x14ac:dyDescent="0.35">
      <c r="E941"/>
    </row>
    <row r="942" spans="5:5" x14ac:dyDescent="0.35">
      <c r="E942"/>
    </row>
    <row r="943" spans="5:5" x14ac:dyDescent="0.35">
      <c r="E943"/>
    </row>
    <row r="944" spans="5:5" x14ac:dyDescent="0.35">
      <c r="E944"/>
    </row>
    <row r="945" spans="5:5" x14ac:dyDescent="0.35">
      <c r="E945"/>
    </row>
    <row r="946" spans="5:5" x14ac:dyDescent="0.35">
      <c r="E946"/>
    </row>
    <row r="947" spans="5:5" x14ac:dyDescent="0.35">
      <c r="E947"/>
    </row>
    <row r="948" spans="5:5" x14ac:dyDescent="0.35">
      <c r="E948"/>
    </row>
    <row r="949" spans="5:5" x14ac:dyDescent="0.35">
      <c r="E949"/>
    </row>
    <row r="950" spans="5:5" x14ac:dyDescent="0.35">
      <c r="E950"/>
    </row>
    <row r="951" spans="5:5" x14ac:dyDescent="0.35">
      <c r="E951"/>
    </row>
    <row r="952" spans="5:5" x14ac:dyDescent="0.35">
      <c r="E952"/>
    </row>
    <row r="953" spans="5:5" x14ac:dyDescent="0.35">
      <c r="E953"/>
    </row>
    <row r="954" spans="5:5" x14ac:dyDescent="0.35">
      <c r="E954"/>
    </row>
    <row r="955" spans="5:5" x14ac:dyDescent="0.35">
      <c r="E955"/>
    </row>
    <row r="956" spans="5:5" x14ac:dyDescent="0.35">
      <c r="E956"/>
    </row>
    <row r="957" spans="5:5" x14ac:dyDescent="0.35">
      <c r="E957"/>
    </row>
    <row r="958" spans="5:5" x14ac:dyDescent="0.35">
      <c r="E958"/>
    </row>
    <row r="959" spans="5:5" x14ac:dyDescent="0.35">
      <c r="E959"/>
    </row>
    <row r="960" spans="5:5" x14ac:dyDescent="0.35">
      <c r="E960"/>
    </row>
    <row r="961" spans="5:5" x14ac:dyDescent="0.35">
      <c r="E961"/>
    </row>
    <row r="962" spans="5:5" x14ac:dyDescent="0.35">
      <c r="E962"/>
    </row>
    <row r="963" spans="5:5" x14ac:dyDescent="0.35">
      <c r="E963"/>
    </row>
    <row r="964" spans="5:5" x14ac:dyDescent="0.35">
      <c r="E964"/>
    </row>
    <row r="965" spans="5:5" x14ac:dyDescent="0.35">
      <c r="E965"/>
    </row>
    <row r="966" spans="5:5" x14ac:dyDescent="0.35">
      <c r="E966"/>
    </row>
    <row r="967" spans="5:5" x14ac:dyDescent="0.35">
      <c r="E967"/>
    </row>
    <row r="968" spans="5:5" x14ac:dyDescent="0.35">
      <c r="E968"/>
    </row>
    <row r="969" spans="5:5" x14ac:dyDescent="0.35">
      <c r="E969"/>
    </row>
    <row r="970" spans="5:5" x14ac:dyDescent="0.35">
      <c r="E970"/>
    </row>
    <row r="971" spans="5:5" x14ac:dyDescent="0.35">
      <c r="E971"/>
    </row>
    <row r="972" spans="5:5" x14ac:dyDescent="0.35">
      <c r="E972"/>
    </row>
    <row r="973" spans="5:5" x14ac:dyDescent="0.35">
      <c r="E973"/>
    </row>
    <row r="974" spans="5:5" x14ac:dyDescent="0.35">
      <c r="E974"/>
    </row>
    <row r="975" spans="5:5" x14ac:dyDescent="0.35">
      <c r="E975"/>
    </row>
    <row r="976" spans="5:5" x14ac:dyDescent="0.35">
      <c r="E976"/>
    </row>
    <row r="977" spans="5:5" x14ac:dyDescent="0.35">
      <c r="E977"/>
    </row>
    <row r="978" spans="5:5" x14ac:dyDescent="0.35">
      <c r="E978"/>
    </row>
    <row r="979" spans="5:5" x14ac:dyDescent="0.35">
      <c r="E979"/>
    </row>
    <row r="980" spans="5:5" x14ac:dyDescent="0.35">
      <c r="E980"/>
    </row>
    <row r="981" spans="5:5" x14ac:dyDescent="0.35">
      <c r="E981"/>
    </row>
    <row r="982" spans="5:5" x14ac:dyDescent="0.35">
      <c r="E982"/>
    </row>
    <row r="983" spans="5:5" x14ac:dyDescent="0.35">
      <c r="E983"/>
    </row>
    <row r="984" spans="5:5" x14ac:dyDescent="0.35">
      <c r="E984"/>
    </row>
    <row r="985" spans="5:5" x14ac:dyDescent="0.35">
      <c r="E985"/>
    </row>
    <row r="986" spans="5:5" x14ac:dyDescent="0.35">
      <c r="E986"/>
    </row>
    <row r="987" spans="5:5" x14ac:dyDescent="0.35">
      <c r="E987"/>
    </row>
    <row r="988" spans="5:5" x14ac:dyDescent="0.35">
      <c r="E988"/>
    </row>
    <row r="989" spans="5:5" x14ac:dyDescent="0.35">
      <c r="E989"/>
    </row>
    <row r="990" spans="5:5" x14ac:dyDescent="0.35">
      <c r="E990"/>
    </row>
    <row r="991" spans="5:5" x14ac:dyDescent="0.35">
      <c r="E991"/>
    </row>
    <row r="992" spans="5:5" x14ac:dyDescent="0.35">
      <c r="E992"/>
    </row>
    <row r="993" spans="5:5" x14ac:dyDescent="0.35">
      <c r="E993"/>
    </row>
    <row r="994" spans="5:5" x14ac:dyDescent="0.35">
      <c r="E994"/>
    </row>
    <row r="995" spans="5:5" x14ac:dyDescent="0.35">
      <c r="E995"/>
    </row>
    <row r="996" spans="5:5" x14ac:dyDescent="0.35">
      <c r="E996"/>
    </row>
    <row r="997" spans="5:5" x14ac:dyDescent="0.35">
      <c r="E997"/>
    </row>
    <row r="998" spans="5:5" x14ac:dyDescent="0.35">
      <c r="E998"/>
    </row>
    <row r="999" spans="5:5" x14ac:dyDescent="0.35">
      <c r="E999"/>
    </row>
  </sheetData>
  <mergeCells count="226">
    <mergeCell ref="A29:B29"/>
    <mergeCell ref="A30:B30"/>
    <mergeCell ref="A31:B31"/>
    <mergeCell ref="A32:B32"/>
    <mergeCell ref="A33:B33"/>
    <mergeCell ref="A34:B34"/>
    <mergeCell ref="A36:B36"/>
    <mergeCell ref="C36:E36"/>
    <mergeCell ref="A40:B40"/>
    <mergeCell ref="C40:E40"/>
    <mergeCell ref="A1:B2"/>
    <mergeCell ref="A3:B3"/>
    <mergeCell ref="A4:B4"/>
    <mergeCell ref="A5:B5"/>
    <mergeCell ref="A6:B6"/>
    <mergeCell ref="A7:B7"/>
    <mergeCell ref="A9:E9"/>
    <mergeCell ref="A10:B10"/>
    <mergeCell ref="A28:B28"/>
    <mergeCell ref="A71:B71"/>
    <mergeCell ref="A72:B72"/>
    <mergeCell ref="A73:B73"/>
    <mergeCell ref="A74:B74"/>
    <mergeCell ref="A75:B75"/>
    <mergeCell ref="A76:B76"/>
    <mergeCell ref="A78:B78"/>
    <mergeCell ref="C78:E78"/>
    <mergeCell ref="A82:B82"/>
    <mergeCell ref="C82:E82"/>
    <mergeCell ref="A43:B44"/>
    <mergeCell ref="A45:B45"/>
    <mergeCell ref="A46:B46"/>
    <mergeCell ref="A47:B47"/>
    <mergeCell ref="A48:B48"/>
    <mergeCell ref="A49:B49"/>
    <mergeCell ref="A51:E51"/>
    <mergeCell ref="A52:B52"/>
    <mergeCell ref="A70:B70"/>
    <mergeCell ref="A155:B155"/>
    <mergeCell ref="A156:B156"/>
    <mergeCell ref="A157:B157"/>
    <mergeCell ref="A158:B158"/>
    <mergeCell ref="A159:B159"/>
    <mergeCell ref="A160:B160"/>
    <mergeCell ref="A162:B162"/>
    <mergeCell ref="C162:E162"/>
    <mergeCell ref="A166:B166"/>
    <mergeCell ref="C166:E166"/>
    <mergeCell ref="A127:B128"/>
    <mergeCell ref="A129:B129"/>
    <mergeCell ref="A130:B130"/>
    <mergeCell ref="A131:B131"/>
    <mergeCell ref="A132:B132"/>
    <mergeCell ref="A133:B133"/>
    <mergeCell ref="A135:E135"/>
    <mergeCell ref="A136:B136"/>
    <mergeCell ref="A154:B154"/>
    <mergeCell ref="A288:B288"/>
    <mergeCell ref="C288:E288"/>
    <mergeCell ref="A292:B292"/>
    <mergeCell ref="C292:E292"/>
    <mergeCell ref="A282:B282"/>
    <mergeCell ref="A283:B283"/>
    <mergeCell ref="A284:B284"/>
    <mergeCell ref="A285:B285"/>
    <mergeCell ref="A286:B286"/>
    <mergeCell ref="A259:B259"/>
    <mergeCell ref="A261:E261"/>
    <mergeCell ref="A262:B262"/>
    <mergeCell ref="A280:B280"/>
    <mergeCell ref="A281:B281"/>
    <mergeCell ref="A253:B254"/>
    <mergeCell ref="A255:B255"/>
    <mergeCell ref="A256:B256"/>
    <mergeCell ref="A257:B257"/>
    <mergeCell ref="A258:B258"/>
    <mergeCell ref="A330:B330"/>
    <mergeCell ref="C330:E330"/>
    <mergeCell ref="A334:B334"/>
    <mergeCell ref="C334:E334"/>
    <mergeCell ref="A324:B324"/>
    <mergeCell ref="A325:B325"/>
    <mergeCell ref="A326:B326"/>
    <mergeCell ref="A327:B327"/>
    <mergeCell ref="A328:B328"/>
    <mergeCell ref="A301:B301"/>
    <mergeCell ref="A303:E303"/>
    <mergeCell ref="A304:B304"/>
    <mergeCell ref="A322:B322"/>
    <mergeCell ref="A323:B323"/>
    <mergeCell ref="A295:B296"/>
    <mergeCell ref="A297:B297"/>
    <mergeCell ref="A298:B298"/>
    <mergeCell ref="A299:B299"/>
    <mergeCell ref="A300:B300"/>
    <mergeCell ref="A376:B376"/>
    <mergeCell ref="C376:E376"/>
    <mergeCell ref="A367:B367"/>
    <mergeCell ref="A368:B368"/>
    <mergeCell ref="A369:B369"/>
    <mergeCell ref="A370:B370"/>
    <mergeCell ref="A372:B372"/>
    <mergeCell ref="A343:B343"/>
    <mergeCell ref="A346:B346"/>
    <mergeCell ref="A364:B364"/>
    <mergeCell ref="A365:B365"/>
    <mergeCell ref="A366:B366"/>
    <mergeCell ref="A345:E345"/>
    <mergeCell ref="A337:B338"/>
    <mergeCell ref="A339:B339"/>
    <mergeCell ref="A340:B340"/>
    <mergeCell ref="A341:B341"/>
    <mergeCell ref="A342:B342"/>
    <mergeCell ref="C417:E417"/>
    <mergeCell ref="A379:B380"/>
    <mergeCell ref="A385:B385"/>
    <mergeCell ref="A387:B387"/>
    <mergeCell ref="A411:B411"/>
    <mergeCell ref="A413:B413"/>
    <mergeCell ref="C413:E413"/>
    <mergeCell ref="A407:B407"/>
    <mergeCell ref="A408:B408"/>
    <mergeCell ref="A409:B409"/>
    <mergeCell ref="A410:B410"/>
    <mergeCell ref="A384:B384"/>
    <mergeCell ref="A405:B405"/>
    <mergeCell ref="A406:B406"/>
    <mergeCell ref="A381:B381"/>
    <mergeCell ref="A382:B382"/>
    <mergeCell ref="A383:B383"/>
    <mergeCell ref="A417:B417"/>
    <mergeCell ref="C372:E372"/>
    <mergeCell ref="C495:E495"/>
    <mergeCell ref="A499:B499"/>
    <mergeCell ref="C499:E499"/>
    <mergeCell ref="A489:B489"/>
    <mergeCell ref="A490:B490"/>
    <mergeCell ref="A491:B491"/>
    <mergeCell ref="A492:B492"/>
    <mergeCell ref="A493:B493"/>
    <mergeCell ref="C454:E454"/>
    <mergeCell ref="A458:B458"/>
    <mergeCell ref="C458:E458"/>
    <mergeCell ref="A488:B488"/>
    <mergeCell ref="A469:B469"/>
    <mergeCell ref="A495:B495"/>
    <mergeCell ref="A464:B464"/>
    <mergeCell ref="A465:B465"/>
    <mergeCell ref="A466:B466"/>
    <mergeCell ref="A467:B467"/>
    <mergeCell ref="A487:B487"/>
    <mergeCell ref="A461:B461"/>
    <mergeCell ref="A462:B462"/>
    <mergeCell ref="A463:B463"/>
    <mergeCell ref="A454:B454"/>
    <mergeCell ref="A420:B421"/>
    <mergeCell ref="A448:B448"/>
    <mergeCell ref="A449:B449"/>
    <mergeCell ref="A450:B450"/>
    <mergeCell ref="A451:B451"/>
    <mergeCell ref="A452:B452"/>
    <mergeCell ref="A425:B425"/>
    <mergeCell ref="A426:B426"/>
    <mergeCell ref="A428:B428"/>
    <mergeCell ref="A446:B446"/>
    <mergeCell ref="A447:B447"/>
    <mergeCell ref="A422:B422"/>
    <mergeCell ref="A423:B423"/>
    <mergeCell ref="A424:B424"/>
    <mergeCell ref="A211:B212"/>
    <mergeCell ref="A213:B213"/>
    <mergeCell ref="A214:B214"/>
    <mergeCell ref="A215:B215"/>
    <mergeCell ref="A216:B216"/>
    <mergeCell ref="A217:B217"/>
    <mergeCell ref="A219:E219"/>
    <mergeCell ref="A220:B220"/>
    <mergeCell ref="A238:B238"/>
    <mergeCell ref="A239:B239"/>
    <mergeCell ref="A240:B240"/>
    <mergeCell ref="A241:B241"/>
    <mergeCell ref="A242:B242"/>
    <mergeCell ref="A243:B243"/>
    <mergeCell ref="A244:B244"/>
    <mergeCell ref="A246:B246"/>
    <mergeCell ref="C246:E246"/>
    <mergeCell ref="A250:B250"/>
    <mergeCell ref="C250:E250"/>
    <mergeCell ref="A169:B170"/>
    <mergeCell ref="A171:B171"/>
    <mergeCell ref="A172:B172"/>
    <mergeCell ref="A173:B173"/>
    <mergeCell ref="A174:B174"/>
    <mergeCell ref="A175:B175"/>
    <mergeCell ref="A177:E177"/>
    <mergeCell ref="A178:B178"/>
    <mergeCell ref="A196:B196"/>
    <mergeCell ref="A197:B197"/>
    <mergeCell ref="A198:B198"/>
    <mergeCell ref="A199:B199"/>
    <mergeCell ref="A200:B200"/>
    <mergeCell ref="A201:B201"/>
    <mergeCell ref="A202:B202"/>
    <mergeCell ref="A204:B204"/>
    <mergeCell ref="C204:E204"/>
    <mergeCell ref="A208:B208"/>
    <mergeCell ref="C208:E208"/>
    <mergeCell ref="A85:B86"/>
    <mergeCell ref="A87:B87"/>
    <mergeCell ref="A88:B88"/>
    <mergeCell ref="A89:B89"/>
    <mergeCell ref="A90:B90"/>
    <mergeCell ref="A91:B91"/>
    <mergeCell ref="A93:E93"/>
    <mergeCell ref="A94:B94"/>
    <mergeCell ref="A112:B112"/>
    <mergeCell ref="A113:B113"/>
    <mergeCell ref="A114:B114"/>
    <mergeCell ref="A115:B115"/>
    <mergeCell ref="A116:B116"/>
    <mergeCell ref="A117:B117"/>
    <mergeCell ref="A118:B118"/>
    <mergeCell ref="A120:B120"/>
    <mergeCell ref="C120:E120"/>
    <mergeCell ref="A124:B124"/>
    <mergeCell ref="C124:E124"/>
  </mergeCells>
  <hyperlinks>
    <hyperlink ref="A466" r:id="rId1" xr:uid="{91AE80B3-4F66-4F2D-AB31-A17AC804DA7A}"/>
    <hyperlink ref="A425" r:id="rId2" display="www.biasbst.com" xr:uid="{7283EA41-F9D9-44F0-A194-2C4F6466ACF9}"/>
    <hyperlink ref="A426" r:id="rId3" xr:uid="{A474FD14-1AA7-4BD7-996E-EC91A24F8FCD}"/>
    <hyperlink ref="A384" r:id="rId4" display="www.biasbst.com" xr:uid="{11597C69-942B-4EE1-8A67-DF22293BC04D}"/>
    <hyperlink ref="A385" r:id="rId5" xr:uid="{FAF239FD-C612-48E9-A14D-15AAFABAA59B}"/>
    <hyperlink ref="A342" r:id="rId6" display="www.biasbst.com" xr:uid="{B6E017E2-579B-4C1D-8926-65A599B1255F}"/>
    <hyperlink ref="A343" r:id="rId7" xr:uid="{3BAAF9AF-B7F5-4096-8566-C5CDF5412E25}"/>
    <hyperlink ref="A300" r:id="rId8" display="www.biasbst.com" xr:uid="{7FBFCE17-036E-4596-8EA3-A9D7A9050365}"/>
    <hyperlink ref="A301" r:id="rId9" xr:uid="{EC7C547E-6E68-4626-A552-1B5691FDCE3D}"/>
    <hyperlink ref="A258" r:id="rId10" display="www.biasbst.com" xr:uid="{A02BF736-5AE3-4D76-934E-5F3378147966}"/>
    <hyperlink ref="A259" r:id="rId11" xr:uid="{1E67C908-8BE1-4F44-B9C4-C55D9AE923AA}"/>
    <hyperlink ref="A216" r:id="rId12" display="www.biasbst.com" xr:uid="{23576D71-5781-4E9A-8873-D8496464851E}"/>
    <hyperlink ref="A217" r:id="rId13" xr:uid="{172522D3-43D0-4B55-A0E3-99CE0E2730EE}"/>
    <hyperlink ref="A174" r:id="rId14" display="www.biasbst.com" xr:uid="{B60BD2C9-AB87-4934-9836-8251144C9DED}"/>
    <hyperlink ref="A175" r:id="rId15" xr:uid="{37617B9F-37A2-47C9-8D41-27B36B9C5798}"/>
    <hyperlink ref="A132" r:id="rId16" display="www.biasbst.com" xr:uid="{7A9CE495-A322-47F4-881B-FF457FFC30DF}"/>
    <hyperlink ref="A133" r:id="rId17" xr:uid="{0187EA08-5B89-4C98-A3DB-7A9DEFAE71F9}"/>
    <hyperlink ref="A90" r:id="rId18" display="www.biasbst.com" xr:uid="{E2F95D49-6BFE-4CDD-ACC9-B910E27E5F24}"/>
    <hyperlink ref="A91" r:id="rId19" xr:uid="{26ED06B1-507C-43C9-9B04-41C78150CF32}"/>
    <hyperlink ref="A48" r:id="rId20" display="www.biasbst.com" xr:uid="{ADB0413F-8FEC-43CC-AC28-7C4C5C4C5656}"/>
    <hyperlink ref="A49" r:id="rId21" xr:uid="{F7827D0C-3C82-4005-A770-4D231B037AEE}"/>
    <hyperlink ref="A6" r:id="rId22" display="www.biasbst.com" xr:uid="{E8B35200-4A7D-420D-AE8C-985AD68BD8C4}"/>
    <hyperlink ref="A7" r:id="rId23" xr:uid="{A4DA241F-1B85-4CEF-AFAC-CF60560DF7D0}"/>
  </hyperlinks>
  <pageMargins left="0.70866141732283472" right="0.31496062992125984" top="0.74803149606299213" bottom="0.74803149606299213" header="0.31496062992125984" footer="0.31496062992125984"/>
  <pageSetup paperSize="9" orientation="portrait" horizontalDpi="4294967293" verticalDpi="180" r:id="rId2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S696"/>
  <sheetViews>
    <sheetView topLeftCell="A24" zoomScale="93" zoomScaleNormal="93" workbookViewId="0">
      <selection activeCell="F33" sqref="F33"/>
    </sheetView>
  </sheetViews>
  <sheetFormatPr defaultColWidth="9.1796875" defaultRowHeight="14.5" x14ac:dyDescent="0.35"/>
  <cols>
    <col min="1" max="1" width="4.1796875" customWidth="1"/>
    <col min="2" max="2" width="40.54296875" customWidth="1"/>
    <col min="3" max="3" width="6.90625" customWidth="1"/>
    <col min="4" max="4" width="13" customWidth="1"/>
    <col min="5" max="5" width="21.453125" style="50" customWidth="1"/>
    <col min="6" max="6" width="13.90625" bestFit="1" customWidth="1"/>
    <col min="9" max="9" width="15.26953125" customWidth="1"/>
    <col min="19" max="19" width="21.453125" style="107" bestFit="1" customWidth="1"/>
  </cols>
  <sheetData>
    <row r="1" spans="1:11" ht="15.5" thickTop="1" thickBot="1" x14ac:dyDescent="0.4">
      <c r="A1" s="266" t="s">
        <v>1</v>
      </c>
      <c r="B1" s="267"/>
      <c r="C1" s="3"/>
      <c r="D1" s="110" t="s">
        <v>0</v>
      </c>
      <c r="E1" s="111" t="s">
        <v>199</v>
      </c>
    </row>
    <row r="2" spans="1:11" ht="15.5" thickTop="1" thickBot="1" x14ac:dyDescent="0.4">
      <c r="A2" s="254"/>
      <c r="B2" s="255"/>
      <c r="C2" s="3"/>
      <c r="D2" s="110" t="s">
        <v>2</v>
      </c>
      <c r="E2" s="114">
        <v>46024</v>
      </c>
    </row>
    <row r="3" spans="1:11" ht="15.5" thickTop="1" thickBot="1" x14ac:dyDescent="0.4">
      <c r="A3" s="256" t="s">
        <v>104</v>
      </c>
      <c r="B3" s="257"/>
      <c r="C3" s="3"/>
      <c r="D3" s="269" t="s">
        <v>4</v>
      </c>
      <c r="E3" s="269"/>
    </row>
    <row r="4" spans="1:11" ht="15.5" thickTop="1" thickBot="1" x14ac:dyDescent="0.4">
      <c r="A4" s="256" t="s">
        <v>77</v>
      </c>
      <c r="B4" s="257"/>
      <c r="C4" s="3"/>
      <c r="D4" s="272" t="s">
        <v>6</v>
      </c>
      <c r="E4" s="273"/>
    </row>
    <row r="5" spans="1:11" ht="15.5" thickTop="1" thickBot="1" x14ac:dyDescent="0.4">
      <c r="A5" s="256" t="s">
        <v>78</v>
      </c>
      <c r="B5" s="257"/>
      <c r="C5" s="3"/>
      <c r="D5" s="274" t="s">
        <v>8</v>
      </c>
      <c r="E5" s="274"/>
    </row>
    <row r="6" spans="1:11" ht="16.5" customHeight="1" thickTop="1" thickBot="1" x14ac:dyDescent="0.4">
      <c r="A6" s="243" t="s">
        <v>11</v>
      </c>
      <c r="B6" s="244"/>
      <c r="D6" s="275" t="s">
        <v>10</v>
      </c>
      <c r="E6" s="276"/>
    </row>
    <row r="7" spans="1:11" ht="15.5" thickTop="1" thickBot="1" x14ac:dyDescent="0.4">
      <c r="A7" s="219" t="s">
        <v>79</v>
      </c>
      <c r="B7" s="220"/>
      <c r="C7" s="3"/>
      <c r="D7" s="269" t="s">
        <v>143</v>
      </c>
      <c r="E7" s="269"/>
    </row>
    <row r="8" spans="1:11" ht="15" thickTop="1" x14ac:dyDescent="0.35">
      <c r="A8" s="13"/>
      <c r="B8" s="13"/>
      <c r="C8" s="3"/>
      <c r="D8" s="14"/>
      <c r="E8" s="14"/>
    </row>
    <row r="9" spans="1:11" x14ac:dyDescent="0.35">
      <c r="A9" s="13"/>
      <c r="B9" s="13"/>
      <c r="C9" s="3"/>
      <c r="D9" s="14"/>
      <c r="E9" s="14"/>
    </row>
    <row r="10" spans="1:11" ht="29.5" x14ac:dyDescent="0.55000000000000004">
      <c r="A10" s="223" t="s">
        <v>87</v>
      </c>
      <c r="B10" s="223"/>
      <c r="C10" s="223"/>
      <c r="D10" s="223"/>
      <c r="E10" s="223"/>
    </row>
    <row r="11" spans="1:11" ht="9" customHeight="1" x14ac:dyDescent="0.55000000000000004">
      <c r="A11" s="132"/>
      <c r="B11" s="132"/>
      <c r="C11" s="132"/>
      <c r="D11" s="132"/>
      <c r="E11" s="132"/>
    </row>
    <row r="12" spans="1:11" ht="15" thickBot="1" x14ac:dyDescent="0.4">
      <c r="A12" s="224" t="s">
        <v>198</v>
      </c>
      <c r="B12" s="224"/>
      <c r="C12" s="3"/>
      <c r="D12" s="3"/>
      <c r="E12" s="15"/>
    </row>
    <row r="13" spans="1:11" ht="15.5" thickTop="1" thickBot="1" x14ac:dyDescent="0.4">
      <c r="A13" s="16" t="s">
        <v>14</v>
      </c>
      <c r="B13" s="225" t="s">
        <v>15</v>
      </c>
      <c r="C13" s="226"/>
      <c r="D13" s="226"/>
      <c r="E13" s="17" t="s">
        <v>16</v>
      </c>
    </row>
    <row r="14" spans="1:11" ht="15" thickTop="1" x14ac:dyDescent="0.35">
      <c r="A14" s="270">
        <v>1</v>
      </c>
      <c r="B14" s="19" t="s">
        <v>17</v>
      </c>
      <c r="C14" s="20"/>
      <c r="D14" s="20"/>
      <c r="E14" s="21">
        <v>800000</v>
      </c>
    </row>
    <row r="15" spans="1:11" x14ac:dyDescent="0.35">
      <c r="A15" s="271"/>
      <c r="B15" s="22" t="s">
        <v>18</v>
      </c>
      <c r="C15" s="23">
        <f>'Meterading 2025'!B54</f>
        <v>105982</v>
      </c>
      <c r="D15" s="24"/>
      <c r="E15" s="25"/>
    </row>
    <row r="16" spans="1:11" ht="15" x14ac:dyDescent="0.4">
      <c r="A16" s="271"/>
      <c r="B16" s="22" t="s">
        <v>19</v>
      </c>
      <c r="C16" s="26">
        <f>'Meterading 2025'!C54</f>
        <v>107840</v>
      </c>
      <c r="D16" s="27" t="s">
        <v>20</v>
      </c>
      <c r="E16" s="25"/>
      <c r="K16" t="s">
        <v>91</v>
      </c>
    </row>
    <row r="17" spans="1:8" x14ac:dyDescent="0.35">
      <c r="A17" s="271"/>
      <c r="B17" s="22" t="s">
        <v>21</v>
      </c>
      <c r="C17" s="23">
        <f>C16-C15</f>
        <v>1858</v>
      </c>
      <c r="D17" s="27"/>
      <c r="E17" s="25"/>
    </row>
    <row r="18" spans="1:8" ht="15" x14ac:dyDescent="0.4">
      <c r="A18" s="271"/>
      <c r="B18" s="22" t="s">
        <v>22</v>
      </c>
      <c r="C18" s="26">
        <v>2000</v>
      </c>
      <c r="D18" s="27" t="s">
        <v>20</v>
      </c>
      <c r="E18" s="25"/>
    </row>
    <row r="19" spans="1:8" ht="15" thickBot="1" x14ac:dyDescent="0.4">
      <c r="A19" s="28"/>
      <c r="B19" s="22" t="s">
        <v>21</v>
      </c>
      <c r="C19" s="23">
        <v>0</v>
      </c>
      <c r="D19" s="27"/>
      <c r="E19" s="25"/>
    </row>
    <row r="20" spans="1:8" ht="15.5" thickTop="1" thickBot="1" x14ac:dyDescent="0.4">
      <c r="A20" s="29">
        <v>2</v>
      </c>
      <c r="B20" s="30" t="s">
        <v>23</v>
      </c>
      <c r="C20" s="31" t="s">
        <v>24</v>
      </c>
      <c r="D20" s="32">
        <v>90</v>
      </c>
      <c r="E20" s="33">
        <f>C19*D20</f>
        <v>0</v>
      </c>
    </row>
    <row r="21" spans="1:8" ht="15.5" thickTop="1" thickBot="1" x14ac:dyDescent="0.4">
      <c r="A21" s="34"/>
      <c r="B21" s="34"/>
      <c r="C21" s="34"/>
      <c r="D21" s="35" t="s">
        <v>25</v>
      </c>
      <c r="E21" s="17">
        <f>E14+E20</f>
        <v>800000</v>
      </c>
    </row>
    <row r="22" spans="1:8" ht="18" thickTop="1" thickBot="1" x14ac:dyDescent="0.45">
      <c r="A22" s="124" t="s">
        <v>26</v>
      </c>
      <c r="B22" s="125"/>
      <c r="C22" s="34"/>
      <c r="D22" s="35" t="s">
        <v>27</v>
      </c>
      <c r="E22" s="38">
        <v>0</v>
      </c>
    </row>
    <row r="23" spans="1:8" ht="17.5" thickBot="1" x14ac:dyDescent="0.45">
      <c r="A23" s="126" t="s">
        <v>28</v>
      </c>
      <c r="B23" s="127"/>
      <c r="C23" s="41"/>
      <c r="D23" s="35" t="s">
        <v>29</v>
      </c>
      <c r="E23" s="42">
        <f>(E21+E22)</f>
        <v>800000</v>
      </c>
    </row>
    <row r="24" spans="1:8" ht="15" x14ac:dyDescent="0.4">
      <c r="A24" s="126" t="s">
        <v>30</v>
      </c>
      <c r="B24" s="127"/>
      <c r="C24" s="3"/>
      <c r="D24" s="3"/>
      <c r="E24" s="15"/>
    </row>
    <row r="25" spans="1:8" ht="15" x14ac:dyDescent="0.4">
      <c r="A25" s="128" t="s">
        <v>31</v>
      </c>
      <c r="B25" s="129"/>
      <c r="C25" s="3"/>
      <c r="D25" s="3"/>
      <c r="E25" s="15"/>
    </row>
    <row r="26" spans="1:8" ht="15.5" thickBot="1" x14ac:dyDescent="0.45">
      <c r="A26" s="130" t="s">
        <v>142</v>
      </c>
      <c r="B26" s="131"/>
      <c r="C26" s="3"/>
      <c r="D26" s="3"/>
      <c r="E26" s="47"/>
    </row>
    <row r="27" spans="1:8" ht="15" thickTop="1" x14ac:dyDescent="0.35">
      <c r="A27" s="48"/>
      <c r="B27" s="49"/>
      <c r="C27" s="3"/>
      <c r="D27" s="3"/>
      <c r="E27" s="47"/>
    </row>
    <row r="28" spans="1:8" x14ac:dyDescent="0.35">
      <c r="A28" s="211" t="s">
        <v>33</v>
      </c>
      <c r="B28" s="211"/>
      <c r="C28" s="211" t="s">
        <v>1</v>
      </c>
      <c r="D28" s="211"/>
      <c r="E28" s="211"/>
    </row>
    <row r="30" spans="1:8" x14ac:dyDescent="0.35">
      <c r="H30" t="s">
        <v>73</v>
      </c>
    </row>
    <row r="32" spans="1:8" x14ac:dyDescent="0.35">
      <c r="A32" s="212" t="s">
        <v>34</v>
      </c>
      <c r="B32" s="212"/>
      <c r="C32" s="213" t="s">
        <v>149</v>
      </c>
      <c r="D32" s="213"/>
      <c r="E32" s="213"/>
    </row>
    <row r="33" spans="1:5" x14ac:dyDescent="0.35">
      <c r="D33" s="60" t="s">
        <v>36</v>
      </c>
      <c r="E33" s="51"/>
    </row>
    <row r="34" spans="1:5" ht="15" thickBot="1" x14ac:dyDescent="0.4">
      <c r="D34" s="60"/>
      <c r="E34" s="51"/>
    </row>
    <row r="35" spans="1:5" ht="15.5" thickTop="1" thickBot="1" x14ac:dyDescent="0.4">
      <c r="A35" s="266" t="s">
        <v>1</v>
      </c>
      <c r="B35" s="267"/>
      <c r="C35" s="3"/>
      <c r="D35" s="110" t="s">
        <v>0</v>
      </c>
      <c r="E35" s="111" t="s">
        <v>191</v>
      </c>
    </row>
    <row r="36" spans="1:5" ht="15.5" thickTop="1" thickBot="1" x14ac:dyDescent="0.4">
      <c r="A36" s="254"/>
      <c r="B36" s="255"/>
      <c r="C36" s="3"/>
      <c r="D36" s="110" t="s">
        <v>2</v>
      </c>
      <c r="E36" s="114">
        <v>45992</v>
      </c>
    </row>
    <row r="37" spans="1:5" ht="15.5" thickTop="1" thickBot="1" x14ac:dyDescent="0.4">
      <c r="A37" s="256" t="s">
        <v>104</v>
      </c>
      <c r="B37" s="257"/>
      <c r="C37" s="3"/>
      <c r="D37" s="269" t="s">
        <v>4</v>
      </c>
      <c r="E37" s="269"/>
    </row>
    <row r="38" spans="1:5" ht="15.5" thickTop="1" thickBot="1" x14ac:dyDescent="0.4">
      <c r="A38" s="256" t="s">
        <v>77</v>
      </c>
      <c r="B38" s="257"/>
      <c r="C38" s="3"/>
      <c r="D38" s="272" t="s">
        <v>6</v>
      </c>
      <c r="E38" s="273"/>
    </row>
    <row r="39" spans="1:5" ht="15.5" thickTop="1" thickBot="1" x14ac:dyDescent="0.4">
      <c r="A39" s="256" t="s">
        <v>78</v>
      </c>
      <c r="B39" s="257"/>
      <c r="C39" s="3"/>
      <c r="D39" s="274" t="s">
        <v>8</v>
      </c>
      <c r="E39" s="274"/>
    </row>
    <row r="40" spans="1:5" ht="16.5" customHeight="1" thickTop="1" thickBot="1" x14ac:dyDescent="0.4">
      <c r="A40" s="243" t="s">
        <v>11</v>
      </c>
      <c r="B40" s="244"/>
      <c r="D40" s="275" t="s">
        <v>10</v>
      </c>
      <c r="E40" s="276"/>
    </row>
    <row r="41" spans="1:5" ht="15.5" thickTop="1" thickBot="1" x14ac:dyDescent="0.4">
      <c r="A41" s="219" t="s">
        <v>79</v>
      </c>
      <c r="B41" s="220"/>
      <c r="C41" s="3"/>
      <c r="D41" s="269" t="s">
        <v>143</v>
      </c>
      <c r="E41" s="269"/>
    </row>
    <row r="42" spans="1:5" ht="15" thickTop="1" x14ac:dyDescent="0.35">
      <c r="A42" s="13"/>
      <c r="B42" s="13"/>
      <c r="C42" s="3"/>
      <c r="D42" s="14"/>
      <c r="E42" s="14"/>
    </row>
    <row r="43" spans="1:5" x14ac:dyDescent="0.35">
      <c r="A43" s="13"/>
      <c r="B43" s="13"/>
      <c r="C43" s="3"/>
      <c r="D43" s="14"/>
      <c r="E43" s="14"/>
    </row>
    <row r="44" spans="1:5" ht="29.5" x14ac:dyDescent="0.55000000000000004">
      <c r="A44" s="223" t="s">
        <v>87</v>
      </c>
      <c r="B44" s="223"/>
      <c r="C44" s="223"/>
      <c r="D44" s="223"/>
      <c r="E44" s="223"/>
    </row>
    <row r="45" spans="1:5" ht="9" customHeight="1" x14ac:dyDescent="0.55000000000000004">
      <c r="A45" s="132"/>
      <c r="B45" s="132"/>
      <c r="C45" s="132"/>
      <c r="D45" s="132"/>
      <c r="E45" s="132"/>
    </row>
    <row r="46" spans="1:5" ht="15" thickBot="1" x14ac:dyDescent="0.4">
      <c r="A46" s="224" t="s">
        <v>194</v>
      </c>
      <c r="B46" s="224"/>
      <c r="C46" s="3"/>
      <c r="D46" s="3"/>
      <c r="E46" s="15"/>
    </row>
    <row r="47" spans="1:5" ht="15.5" thickTop="1" thickBot="1" x14ac:dyDescent="0.4">
      <c r="A47" s="16" t="s">
        <v>14</v>
      </c>
      <c r="B47" s="225" t="s">
        <v>15</v>
      </c>
      <c r="C47" s="226"/>
      <c r="D47" s="226"/>
      <c r="E47" s="17" t="s">
        <v>16</v>
      </c>
    </row>
    <row r="48" spans="1:5" ht="15" thickTop="1" x14ac:dyDescent="0.35">
      <c r="A48" s="270">
        <v>1</v>
      </c>
      <c r="B48" s="19" t="s">
        <v>17</v>
      </c>
      <c r="C48" s="20"/>
      <c r="D48" s="20"/>
      <c r="E48" s="21">
        <v>800000</v>
      </c>
    </row>
    <row r="49" spans="1:11" x14ac:dyDescent="0.35">
      <c r="A49" s="271"/>
      <c r="B49" s="22" t="s">
        <v>18</v>
      </c>
      <c r="C49" s="23">
        <f>'Meterading 2025'!B53</f>
        <v>104492</v>
      </c>
      <c r="D49" s="24"/>
      <c r="E49" s="25"/>
    </row>
    <row r="50" spans="1:11" ht="15" x14ac:dyDescent="0.4">
      <c r="A50" s="271"/>
      <c r="B50" s="22" t="s">
        <v>19</v>
      </c>
      <c r="C50" s="26">
        <f>'Meterading 2025'!C53</f>
        <v>105982</v>
      </c>
      <c r="D50" s="27" t="s">
        <v>20</v>
      </c>
      <c r="E50" s="25"/>
      <c r="K50" t="s">
        <v>91</v>
      </c>
    </row>
    <row r="51" spans="1:11" x14ac:dyDescent="0.35">
      <c r="A51" s="271"/>
      <c r="B51" s="22" t="s">
        <v>21</v>
      </c>
      <c r="C51" s="23">
        <f>C50-C49</f>
        <v>1490</v>
      </c>
      <c r="D51" s="27"/>
      <c r="E51" s="25"/>
    </row>
    <row r="52" spans="1:11" ht="15" x14ac:dyDescent="0.4">
      <c r="A52" s="271"/>
      <c r="B52" s="22" t="s">
        <v>22</v>
      </c>
      <c r="C52" s="26">
        <v>2000</v>
      </c>
      <c r="D52" s="27" t="s">
        <v>20</v>
      </c>
      <c r="E52" s="25"/>
    </row>
    <row r="53" spans="1:11" ht="15" thickBot="1" x14ac:dyDescent="0.4">
      <c r="A53" s="28"/>
      <c r="B53" s="22" t="s">
        <v>21</v>
      </c>
      <c r="C53" s="23">
        <v>0</v>
      </c>
      <c r="D53" s="27"/>
      <c r="E53" s="25"/>
    </row>
    <row r="54" spans="1:11" ht="15.5" thickTop="1" thickBot="1" x14ac:dyDescent="0.4">
      <c r="A54" s="29">
        <v>2</v>
      </c>
      <c r="B54" s="30" t="s">
        <v>23</v>
      </c>
      <c r="C54" s="31" t="s">
        <v>24</v>
      </c>
      <c r="D54" s="32">
        <v>90</v>
      </c>
      <c r="E54" s="33">
        <f>C53*D54</f>
        <v>0</v>
      </c>
    </row>
    <row r="55" spans="1:11" ht="15.5" thickTop="1" thickBot="1" x14ac:dyDescent="0.4">
      <c r="A55" s="34"/>
      <c r="B55" s="34"/>
      <c r="C55" s="34"/>
      <c r="D55" s="35" t="s">
        <v>25</v>
      </c>
      <c r="E55" s="17">
        <f>E48+E54</f>
        <v>800000</v>
      </c>
    </row>
    <row r="56" spans="1:11" ht="18" thickTop="1" thickBot="1" x14ac:dyDescent="0.45">
      <c r="A56" s="124" t="s">
        <v>26</v>
      </c>
      <c r="B56" s="125"/>
      <c r="C56" s="34"/>
      <c r="D56" s="35" t="s">
        <v>27</v>
      </c>
      <c r="E56" s="38">
        <v>0</v>
      </c>
    </row>
    <row r="57" spans="1:11" ht="17.5" thickBot="1" x14ac:dyDescent="0.45">
      <c r="A57" s="126" t="s">
        <v>28</v>
      </c>
      <c r="B57" s="127"/>
      <c r="C57" s="41"/>
      <c r="D57" s="35" t="s">
        <v>29</v>
      </c>
      <c r="E57" s="42">
        <f>(E55+E56)</f>
        <v>800000</v>
      </c>
    </row>
    <row r="58" spans="1:11" ht="15" x14ac:dyDescent="0.4">
      <c r="A58" s="126" t="s">
        <v>30</v>
      </c>
      <c r="B58" s="127"/>
      <c r="C58" s="3"/>
      <c r="D58" s="3"/>
      <c r="E58" s="15"/>
    </row>
    <row r="59" spans="1:11" ht="15" x14ac:dyDescent="0.4">
      <c r="A59" s="128" t="s">
        <v>31</v>
      </c>
      <c r="B59" s="129"/>
      <c r="C59" s="3"/>
      <c r="D59" s="3"/>
      <c r="E59" s="15"/>
    </row>
    <row r="60" spans="1:11" ht="15.5" thickBot="1" x14ac:dyDescent="0.45">
      <c r="A60" s="130" t="s">
        <v>142</v>
      </c>
      <c r="B60" s="131"/>
      <c r="C60" s="3"/>
      <c r="D60" s="3"/>
      <c r="E60" s="47"/>
    </row>
    <row r="61" spans="1:11" ht="15" thickTop="1" x14ac:dyDescent="0.35">
      <c r="A61" s="48"/>
      <c r="B61" s="49"/>
      <c r="C61" s="3"/>
      <c r="D61" s="3"/>
      <c r="E61" s="47"/>
    </row>
    <row r="62" spans="1:11" x14ac:dyDescent="0.35">
      <c r="A62" s="211" t="s">
        <v>33</v>
      </c>
      <c r="B62" s="211"/>
      <c r="C62" s="211" t="s">
        <v>1</v>
      </c>
      <c r="D62" s="211"/>
      <c r="E62" s="211"/>
    </row>
    <row r="64" spans="1:11" x14ac:dyDescent="0.35">
      <c r="H64" t="s">
        <v>73</v>
      </c>
    </row>
    <row r="66" spans="1:5" x14ac:dyDescent="0.35">
      <c r="A66" s="212" t="s">
        <v>34</v>
      </c>
      <c r="B66" s="212"/>
      <c r="C66" s="213" t="s">
        <v>149</v>
      </c>
      <c r="D66" s="213"/>
      <c r="E66" s="213"/>
    </row>
    <row r="67" spans="1:5" x14ac:dyDescent="0.35">
      <c r="D67" s="60" t="s">
        <v>36</v>
      </c>
      <c r="E67" s="51"/>
    </row>
    <row r="68" spans="1:5" ht="15" thickBot="1" x14ac:dyDescent="0.4">
      <c r="D68" s="60"/>
      <c r="E68" s="51"/>
    </row>
    <row r="69" spans="1:5" ht="15.5" thickTop="1" thickBot="1" x14ac:dyDescent="0.4">
      <c r="A69" s="266" t="s">
        <v>1</v>
      </c>
      <c r="B69" s="267"/>
      <c r="C69" s="3"/>
      <c r="D69" s="110" t="s">
        <v>0</v>
      </c>
      <c r="E69" s="111" t="s">
        <v>165</v>
      </c>
    </row>
    <row r="70" spans="1:5" ht="15.5" thickTop="1" thickBot="1" x14ac:dyDescent="0.4">
      <c r="A70" s="254"/>
      <c r="B70" s="255"/>
      <c r="C70" s="3"/>
      <c r="D70" s="110" t="s">
        <v>2</v>
      </c>
      <c r="E70" s="114">
        <v>45964</v>
      </c>
    </row>
    <row r="71" spans="1:5" ht="15.5" thickTop="1" thickBot="1" x14ac:dyDescent="0.4">
      <c r="A71" s="256" t="s">
        <v>104</v>
      </c>
      <c r="B71" s="257"/>
      <c r="C71" s="3"/>
      <c r="D71" s="269" t="s">
        <v>4</v>
      </c>
      <c r="E71" s="269"/>
    </row>
    <row r="72" spans="1:5" ht="15.5" thickTop="1" thickBot="1" x14ac:dyDescent="0.4">
      <c r="A72" s="256" t="s">
        <v>77</v>
      </c>
      <c r="B72" s="257"/>
      <c r="C72" s="3"/>
      <c r="D72" s="272" t="s">
        <v>6</v>
      </c>
      <c r="E72" s="273"/>
    </row>
    <row r="73" spans="1:5" ht="15.5" thickTop="1" thickBot="1" x14ac:dyDescent="0.4">
      <c r="A73" s="256" t="s">
        <v>78</v>
      </c>
      <c r="B73" s="257"/>
      <c r="C73" s="3"/>
      <c r="D73" s="274" t="s">
        <v>8</v>
      </c>
      <c r="E73" s="274"/>
    </row>
    <row r="74" spans="1:5" ht="16.5" customHeight="1" thickTop="1" thickBot="1" x14ac:dyDescent="0.4">
      <c r="A74" s="243" t="s">
        <v>11</v>
      </c>
      <c r="B74" s="244"/>
      <c r="D74" s="275" t="s">
        <v>10</v>
      </c>
      <c r="E74" s="276"/>
    </row>
    <row r="75" spans="1:5" ht="15.5" thickTop="1" thickBot="1" x14ac:dyDescent="0.4">
      <c r="A75" s="219" t="s">
        <v>79</v>
      </c>
      <c r="B75" s="220"/>
      <c r="C75" s="3"/>
      <c r="D75" s="269" t="s">
        <v>143</v>
      </c>
      <c r="E75" s="269"/>
    </row>
    <row r="76" spans="1:5" ht="15" thickTop="1" x14ac:dyDescent="0.35">
      <c r="A76" s="13"/>
      <c r="B76" s="13"/>
      <c r="C76" s="3"/>
      <c r="D76" s="14"/>
      <c r="E76" s="14"/>
    </row>
    <row r="77" spans="1:5" x14ac:dyDescent="0.35">
      <c r="A77" s="13"/>
      <c r="B77" s="13"/>
      <c r="C77" s="3"/>
      <c r="D77" s="14"/>
      <c r="E77" s="14"/>
    </row>
    <row r="78" spans="1:5" ht="29.5" x14ac:dyDescent="0.55000000000000004">
      <c r="A78" s="223" t="s">
        <v>87</v>
      </c>
      <c r="B78" s="223"/>
      <c r="C78" s="223"/>
      <c r="D78" s="223"/>
      <c r="E78" s="223"/>
    </row>
    <row r="79" spans="1:5" ht="9" customHeight="1" x14ac:dyDescent="0.55000000000000004">
      <c r="A79" s="132"/>
      <c r="B79" s="132"/>
      <c r="C79" s="132"/>
      <c r="D79" s="132"/>
      <c r="E79" s="132"/>
    </row>
    <row r="80" spans="1:5" ht="15" thickBot="1" x14ac:dyDescent="0.4">
      <c r="A80" s="224" t="s">
        <v>168</v>
      </c>
      <c r="B80" s="224"/>
      <c r="C80" s="3"/>
      <c r="D80" s="3"/>
      <c r="E80" s="15"/>
    </row>
    <row r="81" spans="1:11" ht="15.5" thickTop="1" thickBot="1" x14ac:dyDescent="0.4">
      <c r="A81" s="16" t="s">
        <v>14</v>
      </c>
      <c r="B81" s="225" t="s">
        <v>15</v>
      </c>
      <c r="C81" s="226"/>
      <c r="D81" s="226"/>
      <c r="E81" s="17" t="s">
        <v>16</v>
      </c>
    </row>
    <row r="82" spans="1:11" ht="15" thickTop="1" x14ac:dyDescent="0.35">
      <c r="A82" s="270">
        <v>1</v>
      </c>
      <c r="B82" s="19" t="s">
        <v>17</v>
      </c>
      <c r="C82" s="20"/>
      <c r="D82" s="20"/>
      <c r="E82" s="21">
        <v>800000</v>
      </c>
    </row>
    <row r="83" spans="1:11" x14ac:dyDescent="0.35">
      <c r="A83" s="271"/>
      <c r="B83" s="22" t="s">
        <v>18</v>
      </c>
      <c r="C83" s="23">
        <f>'Meterading 2025'!B52</f>
        <v>102388</v>
      </c>
      <c r="D83" s="24"/>
      <c r="E83" s="25"/>
    </row>
    <row r="84" spans="1:11" ht="15" x14ac:dyDescent="0.4">
      <c r="A84" s="271"/>
      <c r="B84" s="22" t="s">
        <v>19</v>
      </c>
      <c r="C84" s="26">
        <f>'Meterading 2025'!C52</f>
        <v>104492</v>
      </c>
      <c r="D84" s="27" t="s">
        <v>20</v>
      </c>
      <c r="E84" s="25"/>
      <c r="K84" t="s">
        <v>91</v>
      </c>
    </row>
    <row r="85" spans="1:11" x14ac:dyDescent="0.35">
      <c r="A85" s="271"/>
      <c r="B85" s="22" t="s">
        <v>21</v>
      </c>
      <c r="C85" s="23">
        <f>C84-C83</f>
        <v>2104</v>
      </c>
      <c r="D85" s="27"/>
      <c r="E85" s="25"/>
    </row>
    <row r="86" spans="1:11" ht="15" x14ac:dyDescent="0.4">
      <c r="A86" s="271"/>
      <c r="B86" s="22" t="s">
        <v>22</v>
      </c>
      <c r="C86" s="26">
        <v>2000</v>
      </c>
      <c r="D86" s="27" t="s">
        <v>20</v>
      </c>
      <c r="E86" s="25"/>
    </row>
    <row r="87" spans="1:11" ht="15" thickBot="1" x14ac:dyDescent="0.4">
      <c r="A87" s="28"/>
      <c r="B87" s="22" t="s">
        <v>21</v>
      </c>
      <c r="C87" s="23">
        <f>+C85-C86</f>
        <v>104</v>
      </c>
      <c r="D87" s="27"/>
      <c r="E87" s="25"/>
    </row>
    <row r="88" spans="1:11" ht="15.5" thickTop="1" thickBot="1" x14ac:dyDescent="0.4">
      <c r="A88" s="29">
        <v>2</v>
      </c>
      <c r="B88" s="30" t="s">
        <v>23</v>
      </c>
      <c r="C88" s="31" t="s">
        <v>24</v>
      </c>
      <c r="D88" s="32">
        <v>90</v>
      </c>
      <c r="E88" s="33">
        <f>C87*D88</f>
        <v>9360</v>
      </c>
    </row>
    <row r="89" spans="1:11" ht="15.5" thickTop="1" thickBot="1" x14ac:dyDescent="0.4">
      <c r="A89" s="34"/>
      <c r="B89" s="34"/>
      <c r="C89" s="34"/>
      <c r="D89" s="35" t="s">
        <v>25</v>
      </c>
      <c r="E89" s="17">
        <f>E82+E88</f>
        <v>809360</v>
      </c>
    </row>
    <row r="90" spans="1:11" ht="18" thickTop="1" thickBot="1" x14ac:dyDescent="0.45">
      <c r="A90" s="124" t="s">
        <v>26</v>
      </c>
      <c r="B90" s="125"/>
      <c r="C90" s="34"/>
      <c r="D90" s="35" t="s">
        <v>27</v>
      </c>
      <c r="E90" s="38">
        <v>0</v>
      </c>
    </row>
    <row r="91" spans="1:11" ht="17.5" thickBot="1" x14ac:dyDescent="0.45">
      <c r="A91" s="126" t="s">
        <v>28</v>
      </c>
      <c r="B91" s="127"/>
      <c r="C91" s="41"/>
      <c r="D91" s="35" t="s">
        <v>29</v>
      </c>
      <c r="E91" s="42">
        <f>(E89+E90)</f>
        <v>809360</v>
      </c>
      <c r="F91" s="50">
        <v>0.02</v>
      </c>
    </row>
    <row r="92" spans="1:11" ht="15" x14ac:dyDescent="0.4">
      <c r="A92" s="126" t="s">
        <v>30</v>
      </c>
      <c r="B92" s="127"/>
      <c r="C92" s="3"/>
      <c r="D92" s="3"/>
      <c r="E92" s="15">
        <v>0.02</v>
      </c>
      <c r="F92" s="50">
        <f>E91*1.5%</f>
        <v>12140.4</v>
      </c>
    </row>
    <row r="93" spans="1:11" ht="15" x14ac:dyDescent="0.4">
      <c r="A93" s="128" t="s">
        <v>31</v>
      </c>
      <c r="B93" s="129"/>
      <c r="C93" s="3"/>
      <c r="D93" s="3"/>
      <c r="E93" s="15"/>
      <c r="F93" s="50">
        <f>E91-F92</f>
        <v>797219.6</v>
      </c>
    </row>
    <row r="94" spans="1:11" ht="15.5" thickBot="1" x14ac:dyDescent="0.45">
      <c r="A94" s="130" t="s">
        <v>142</v>
      </c>
      <c r="B94" s="131"/>
      <c r="C94" s="3"/>
      <c r="D94" s="3"/>
      <c r="E94" s="47"/>
    </row>
    <row r="95" spans="1:11" ht="15" thickTop="1" x14ac:dyDescent="0.35">
      <c r="A95" s="48"/>
      <c r="B95" s="49"/>
      <c r="C95" s="3"/>
      <c r="D95" s="3"/>
      <c r="E95" s="47"/>
    </row>
    <row r="96" spans="1:11" x14ac:dyDescent="0.35">
      <c r="A96" s="211" t="s">
        <v>33</v>
      </c>
      <c r="B96" s="211"/>
      <c r="C96" s="211" t="s">
        <v>1</v>
      </c>
      <c r="D96" s="211"/>
      <c r="E96" s="211"/>
    </row>
    <row r="98" spans="1:8" x14ac:dyDescent="0.35">
      <c r="H98" t="s">
        <v>73</v>
      </c>
    </row>
    <row r="100" spans="1:8" x14ac:dyDescent="0.35">
      <c r="A100" s="212" t="s">
        <v>34</v>
      </c>
      <c r="B100" s="212"/>
      <c r="C100" s="213" t="s">
        <v>149</v>
      </c>
      <c r="D100" s="213"/>
      <c r="E100" s="213"/>
    </row>
    <row r="101" spans="1:8" x14ac:dyDescent="0.35">
      <c r="D101" s="60" t="s">
        <v>36</v>
      </c>
      <c r="E101" s="51"/>
    </row>
    <row r="102" spans="1:8" ht="15" thickBot="1" x14ac:dyDescent="0.4">
      <c r="D102" s="60"/>
      <c r="E102" s="51"/>
    </row>
    <row r="103" spans="1:8" ht="15.5" thickTop="1" thickBot="1" x14ac:dyDescent="0.4">
      <c r="A103" s="266" t="s">
        <v>1</v>
      </c>
      <c r="B103" s="267"/>
      <c r="C103" s="3"/>
      <c r="D103" s="110" t="s">
        <v>0</v>
      </c>
      <c r="E103" s="111" t="s">
        <v>165</v>
      </c>
    </row>
    <row r="104" spans="1:8" ht="15.5" thickTop="1" thickBot="1" x14ac:dyDescent="0.4">
      <c r="A104" s="254"/>
      <c r="B104" s="255"/>
      <c r="C104" s="3"/>
      <c r="D104" s="110" t="s">
        <v>2</v>
      </c>
      <c r="E104" s="114">
        <v>45964</v>
      </c>
    </row>
    <row r="105" spans="1:8" ht="15.5" thickTop="1" thickBot="1" x14ac:dyDescent="0.4">
      <c r="A105" s="256" t="s">
        <v>104</v>
      </c>
      <c r="B105" s="257"/>
      <c r="C105" s="3"/>
      <c r="D105" s="269" t="s">
        <v>4</v>
      </c>
      <c r="E105" s="269"/>
    </row>
    <row r="106" spans="1:8" ht="15.5" thickTop="1" thickBot="1" x14ac:dyDescent="0.4">
      <c r="A106" s="256" t="s">
        <v>77</v>
      </c>
      <c r="B106" s="257"/>
      <c r="C106" s="3"/>
      <c r="D106" s="272" t="s">
        <v>6</v>
      </c>
      <c r="E106" s="273"/>
    </row>
    <row r="107" spans="1:8" ht="15.5" thickTop="1" thickBot="1" x14ac:dyDescent="0.4">
      <c r="A107" s="256" t="s">
        <v>78</v>
      </c>
      <c r="B107" s="257"/>
      <c r="C107" s="3"/>
      <c r="D107" s="274" t="s">
        <v>8</v>
      </c>
      <c r="E107" s="274"/>
    </row>
    <row r="108" spans="1:8" ht="16.5" customHeight="1" thickTop="1" thickBot="1" x14ac:dyDescent="0.4">
      <c r="A108" s="243" t="s">
        <v>11</v>
      </c>
      <c r="B108" s="244"/>
      <c r="D108" s="275" t="s">
        <v>10</v>
      </c>
      <c r="E108" s="276"/>
    </row>
    <row r="109" spans="1:8" ht="15.5" thickTop="1" thickBot="1" x14ac:dyDescent="0.4">
      <c r="A109" s="219" t="s">
        <v>79</v>
      </c>
      <c r="B109" s="220"/>
      <c r="C109" s="3"/>
      <c r="D109" s="269" t="s">
        <v>143</v>
      </c>
      <c r="E109" s="269"/>
    </row>
    <row r="110" spans="1:8" ht="15" thickTop="1" x14ac:dyDescent="0.35">
      <c r="A110" s="13"/>
      <c r="B110" s="13"/>
      <c r="C110" s="3"/>
      <c r="D110" s="14"/>
      <c r="E110" s="14"/>
    </row>
    <row r="111" spans="1:8" x14ac:dyDescent="0.35">
      <c r="A111" s="13"/>
      <c r="B111" s="13"/>
      <c r="C111" s="3"/>
      <c r="D111" s="14"/>
      <c r="E111" s="14"/>
    </row>
    <row r="112" spans="1:8" ht="29.5" x14ac:dyDescent="0.55000000000000004">
      <c r="A112" s="223" t="s">
        <v>87</v>
      </c>
      <c r="B112" s="223"/>
      <c r="C112" s="223"/>
      <c r="D112" s="223"/>
      <c r="E112" s="223"/>
    </row>
    <row r="113" spans="1:11" ht="9" customHeight="1" x14ac:dyDescent="0.55000000000000004">
      <c r="A113" s="132"/>
      <c r="B113" s="132"/>
      <c r="C113" s="132"/>
      <c r="D113" s="132"/>
      <c r="E113" s="132"/>
    </row>
    <row r="114" spans="1:11" ht="15" thickBot="1" x14ac:dyDescent="0.4">
      <c r="A114" s="224" t="s">
        <v>168</v>
      </c>
      <c r="B114" s="224"/>
      <c r="C114" s="3"/>
      <c r="D114" s="3"/>
      <c r="E114" s="15"/>
    </row>
    <row r="115" spans="1:11" ht="15.5" thickTop="1" thickBot="1" x14ac:dyDescent="0.4">
      <c r="A115" s="16" t="s">
        <v>14</v>
      </c>
      <c r="B115" s="225" t="s">
        <v>15</v>
      </c>
      <c r="C115" s="226"/>
      <c r="D115" s="226"/>
      <c r="E115" s="17" t="s">
        <v>16</v>
      </c>
    </row>
    <row r="116" spans="1:11" ht="15" thickTop="1" x14ac:dyDescent="0.35">
      <c r="A116" s="270">
        <v>1</v>
      </c>
      <c r="B116" s="19" t="s">
        <v>17</v>
      </c>
      <c r="C116" s="20"/>
      <c r="D116" s="20"/>
      <c r="E116" s="21">
        <v>800000</v>
      </c>
    </row>
    <row r="117" spans="1:11" x14ac:dyDescent="0.35">
      <c r="A117" s="271"/>
      <c r="B117" s="22" t="s">
        <v>18</v>
      </c>
      <c r="C117" s="23">
        <f>'Meterading 2025'!B51</f>
        <v>100619</v>
      </c>
      <c r="D117" s="24"/>
      <c r="E117" s="25"/>
    </row>
    <row r="118" spans="1:11" ht="15" x14ac:dyDescent="0.4">
      <c r="A118" s="271"/>
      <c r="B118" s="22" t="s">
        <v>19</v>
      </c>
      <c r="C118" s="26">
        <f>'Meterading 2025'!C51</f>
        <v>102388</v>
      </c>
      <c r="D118" s="27" t="s">
        <v>20</v>
      </c>
      <c r="E118" s="25"/>
      <c r="K118" t="s">
        <v>91</v>
      </c>
    </row>
    <row r="119" spans="1:11" x14ac:dyDescent="0.35">
      <c r="A119" s="271"/>
      <c r="B119" s="22" t="s">
        <v>21</v>
      </c>
      <c r="C119" s="23">
        <f>C118-C117</f>
        <v>1769</v>
      </c>
      <c r="D119" s="27"/>
      <c r="E119" s="25"/>
    </row>
    <row r="120" spans="1:11" ht="15" x14ac:dyDescent="0.4">
      <c r="A120" s="271"/>
      <c r="B120" s="22" t="s">
        <v>22</v>
      </c>
      <c r="C120" s="26">
        <v>2000</v>
      </c>
      <c r="D120" s="27" t="s">
        <v>20</v>
      </c>
      <c r="E120" s="25"/>
    </row>
    <row r="121" spans="1:11" ht="15" thickBot="1" x14ac:dyDescent="0.4">
      <c r="A121" s="28"/>
      <c r="B121" s="22" t="s">
        <v>21</v>
      </c>
      <c r="C121" s="23">
        <f>+C119-C120</f>
        <v>-231</v>
      </c>
      <c r="D121" s="27"/>
      <c r="E121" s="25"/>
    </row>
    <row r="122" spans="1:11" ht="15.5" thickTop="1" thickBot="1" x14ac:dyDescent="0.4">
      <c r="A122" s="29">
        <v>2</v>
      </c>
      <c r="B122" s="30" t="s">
        <v>23</v>
      </c>
      <c r="C122" s="31" t="s">
        <v>24</v>
      </c>
      <c r="D122" s="32">
        <v>90</v>
      </c>
      <c r="E122" s="33"/>
    </row>
    <row r="123" spans="1:11" ht="15.5" thickTop="1" thickBot="1" x14ac:dyDescent="0.4">
      <c r="A123" s="34"/>
      <c r="B123" s="34"/>
      <c r="C123" s="34"/>
      <c r="D123" s="35" t="s">
        <v>25</v>
      </c>
      <c r="E123" s="17">
        <f>E116+E122</f>
        <v>800000</v>
      </c>
    </row>
    <row r="124" spans="1:11" ht="18" thickTop="1" thickBot="1" x14ac:dyDescent="0.45">
      <c r="A124" s="124" t="s">
        <v>26</v>
      </c>
      <c r="B124" s="125"/>
      <c r="C124" s="34"/>
      <c r="D124" s="35" t="s">
        <v>27</v>
      </c>
      <c r="E124" s="38">
        <v>0</v>
      </c>
    </row>
    <row r="125" spans="1:11" ht="17.5" thickBot="1" x14ac:dyDescent="0.45">
      <c r="A125" s="126" t="s">
        <v>28</v>
      </c>
      <c r="B125" s="127"/>
      <c r="C125" s="41"/>
      <c r="D125" s="35" t="s">
        <v>29</v>
      </c>
      <c r="E125" s="42">
        <f>(E123+E124)</f>
        <v>800000</v>
      </c>
    </row>
    <row r="126" spans="1:11" ht="15" x14ac:dyDescent="0.4">
      <c r="A126" s="126" t="s">
        <v>30</v>
      </c>
      <c r="B126" s="127"/>
      <c r="C126" s="3"/>
      <c r="D126" s="3"/>
      <c r="E126" s="15"/>
    </row>
    <row r="127" spans="1:11" ht="15" x14ac:dyDescent="0.4">
      <c r="A127" s="128" t="s">
        <v>31</v>
      </c>
      <c r="B127" s="129"/>
      <c r="C127" s="3"/>
      <c r="D127" s="3"/>
      <c r="E127" s="15"/>
    </row>
    <row r="128" spans="1:11" ht="15.5" thickBot="1" x14ac:dyDescent="0.45">
      <c r="A128" s="130" t="s">
        <v>142</v>
      </c>
      <c r="B128" s="131"/>
      <c r="C128" s="3"/>
      <c r="D128" s="3"/>
      <c r="E128" s="47"/>
    </row>
    <row r="129" spans="1:8" ht="15" thickTop="1" x14ac:dyDescent="0.35">
      <c r="A129" s="48"/>
      <c r="B129" s="49"/>
      <c r="C129" s="3"/>
      <c r="D129" s="3"/>
      <c r="E129" s="47"/>
    </row>
    <row r="130" spans="1:8" x14ac:dyDescent="0.35">
      <c r="A130" s="211" t="s">
        <v>33</v>
      </c>
      <c r="B130" s="211"/>
      <c r="C130" s="211" t="s">
        <v>1</v>
      </c>
      <c r="D130" s="211"/>
      <c r="E130" s="211"/>
    </row>
    <row r="132" spans="1:8" x14ac:dyDescent="0.35">
      <c r="H132" t="s">
        <v>73</v>
      </c>
    </row>
    <row r="134" spans="1:8" x14ac:dyDescent="0.35">
      <c r="A134" s="212" t="s">
        <v>34</v>
      </c>
      <c r="B134" s="212"/>
      <c r="C134" s="213" t="s">
        <v>149</v>
      </c>
      <c r="D134" s="213"/>
      <c r="E134" s="213"/>
    </row>
    <row r="135" spans="1:8" x14ac:dyDescent="0.35">
      <c r="D135" s="60" t="s">
        <v>36</v>
      </c>
      <c r="E135" s="51"/>
    </row>
    <row r="136" spans="1:8" ht="15" thickBot="1" x14ac:dyDescent="0.4">
      <c r="D136" s="60"/>
      <c r="E136" s="51"/>
    </row>
    <row r="137" spans="1:8" ht="15.5" thickTop="1" thickBot="1" x14ac:dyDescent="0.4">
      <c r="A137" s="266" t="s">
        <v>1</v>
      </c>
      <c r="B137" s="267"/>
      <c r="C137" s="3"/>
      <c r="D137" s="110" t="s">
        <v>0</v>
      </c>
      <c r="E137" s="111" t="s">
        <v>147</v>
      </c>
    </row>
    <row r="138" spans="1:8" ht="15.5" thickTop="1" thickBot="1" x14ac:dyDescent="0.4">
      <c r="A138" s="254"/>
      <c r="B138" s="255"/>
      <c r="C138" s="3"/>
      <c r="D138" s="110" t="s">
        <v>2</v>
      </c>
      <c r="E138" s="114">
        <v>45901</v>
      </c>
    </row>
    <row r="139" spans="1:8" ht="15.5" thickTop="1" thickBot="1" x14ac:dyDescent="0.4">
      <c r="A139" s="256" t="s">
        <v>104</v>
      </c>
      <c r="B139" s="257"/>
      <c r="C139" s="3"/>
      <c r="D139" s="269" t="s">
        <v>4</v>
      </c>
      <c r="E139" s="269"/>
    </row>
    <row r="140" spans="1:8" ht="15.5" thickTop="1" thickBot="1" x14ac:dyDescent="0.4">
      <c r="A140" s="256" t="s">
        <v>77</v>
      </c>
      <c r="B140" s="257"/>
      <c r="C140" s="3"/>
      <c r="D140" s="272" t="s">
        <v>6</v>
      </c>
      <c r="E140" s="273"/>
    </row>
    <row r="141" spans="1:8" ht="15.5" thickTop="1" thickBot="1" x14ac:dyDescent="0.4">
      <c r="A141" s="256" t="s">
        <v>78</v>
      </c>
      <c r="B141" s="257"/>
      <c r="C141" s="3"/>
      <c r="D141" s="274" t="s">
        <v>8</v>
      </c>
      <c r="E141" s="274"/>
    </row>
    <row r="142" spans="1:8" ht="16.5" customHeight="1" thickTop="1" thickBot="1" x14ac:dyDescent="0.4">
      <c r="A142" s="243" t="s">
        <v>11</v>
      </c>
      <c r="B142" s="244"/>
      <c r="D142" s="275" t="s">
        <v>10</v>
      </c>
      <c r="E142" s="276"/>
    </row>
    <row r="143" spans="1:8" ht="15.5" thickTop="1" thickBot="1" x14ac:dyDescent="0.4">
      <c r="A143" s="219" t="s">
        <v>79</v>
      </c>
      <c r="B143" s="220"/>
      <c r="C143" s="3"/>
      <c r="D143" s="269" t="s">
        <v>143</v>
      </c>
      <c r="E143" s="269"/>
    </row>
    <row r="144" spans="1:8" ht="15" thickTop="1" x14ac:dyDescent="0.35">
      <c r="A144" s="13"/>
      <c r="B144" s="13"/>
      <c r="C144" s="3"/>
      <c r="D144" s="14"/>
      <c r="E144" s="14"/>
    </row>
    <row r="145" spans="1:11" x14ac:dyDescent="0.35">
      <c r="A145" s="13"/>
      <c r="B145" s="13"/>
      <c r="C145" s="3"/>
      <c r="D145" s="14"/>
      <c r="E145" s="14"/>
    </row>
    <row r="146" spans="1:11" ht="29.5" x14ac:dyDescent="0.55000000000000004">
      <c r="A146" s="223" t="s">
        <v>87</v>
      </c>
      <c r="B146" s="223"/>
      <c r="C146" s="223"/>
      <c r="D146" s="223"/>
      <c r="E146" s="223"/>
    </row>
    <row r="147" spans="1:11" ht="9" customHeight="1" x14ac:dyDescent="0.55000000000000004">
      <c r="A147" s="132"/>
      <c r="B147" s="132"/>
      <c r="C147" s="132"/>
      <c r="D147" s="132"/>
      <c r="E147" s="132"/>
    </row>
    <row r="148" spans="1:11" ht="15" thickBot="1" x14ac:dyDescent="0.4">
      <c r="A148" s="224" t="s">
        <v>148</v>
      </c>
      <c r="B148" s="224"/>
      <c r="C148" s="3"/>
      <c r="D148" s="3"/>
      <c r="E148" s="15"/>
    </row>
    <row r="149" spans="1:11" ht="15.5" thickTop="1" thickBot="1" x14ac:dyDescent="0.4">
      <c r="A149" s="16" t="s">
        <v>14</v>
      </c>
      <c r="B149" s="225" t="s">
        <v>15</v>
      </c>
      <c r="C149" s="226"/>
      <c r="D149" s="226"/>
      <c r="E149" s="17" t="s">
        <v>16</v>
      </c>
    </row>
    <row r="150" spans="1:11" ht="15" thickTop="1" x14ac:dyDescent="0.35">
      <c r="A150" s="270">
        <v>1</v>
      </c>
      <c r="B150" s="19" t="s">
        <v>17</v>
      </c>
      <c r="C150" s="20"/>
      <c r="D150" s="20"/>
      <c r="E150" s="21">
        <v>800000</v>
      </c>
    </row>
    <row r="151" spans="1:11" x14ac:dyDescent="0.35">
      <c r="A151" s="271"/>
      <c r="B151" s="22" t="s">
        <v>18</v>
      </c>
      <c r="C151" s="23">
        <f>'Meterading 2025'!B50</f>
        <v>99129</v>
      </c>
      <c r="D151" s="24"/>
      <c r="E151" s="25"/>
    </row>
    <row r="152" spans="1:11" ht="15" x14ac:dyDescent="0.4">
      <c r="A152" s="271"/>
      <c r="B152" s="22" t="s">
        <v>19</v>
      </c>
      <c r="C152" s="26">
        <f>'Meterading 2025'!C50</f>
        <v>100619</v>
      </c>
      <c r="D152" s="27" t="s">
        <v>20</v>
      </c>
      <c r="E152" s="25"/>
      <c r="K152" t="s">
        <v>91</v>
      </c>
    </row>
    <row r="153" spans="1:11" x14ac:dyDescent="0.35">
      <c r="A153" s="271"/>
      <c r="B153" s="22" t="s">
        <v>21</v>
      </c>
      <c r="C153" s="23">
        <f>C152-C151</f>
        <v>1490</v>
      </c>
      <c r="D153" s="27"/>
      <c r="E153" s="25"/>
    </row>
    <row r="154" spans="1:11" ht="15" x14ac:dyDescent="0.4">
      <c r="A154" s="271"/>
      <c r="B154" s="22" t="s">
        <v>22</v>
      </c>
      <c r="C154" s="26">
        <v>2000</v>
      </c>
      <c r="D154" s="27" t="s">
        <v>20</v>
      </c>
      <c r="E154" s="25"/>
    </row>
    <row r="155" spans="1:11" ht="15" thickBot="1" x14ac:dyDescent="0.4">
      <c r="A155" s="28"/>
      <c r="B155" s="22" t="s">
        <v>21</v>
      </c>
      <c r="C155" s="23">
        <f>+C153-C154</f>
        <v>-510</v>
      </c>
      <c r="D155" s="27"/>
      <c r="E155" s="25"/>
    </row>
    <row r="156" spans="1:11" ht="15.5" thickTop="1" thickBot="1" x14ac:dyDescent="0.4">
      <c r="A156" s="29">
        <v>2</v>
      </c>
      <c r="B156" s="30" t="s">
        <v>23</v>
      </c>
      <c r="C156" s="31" t="s">
        <v>24</v>
      </c>
      <c r="D156" s="32">
        <v>90</v>
      </c>
      <c r="E156" s="33"/>
    </row>
    <row r="157" spans="1:11" ht="15.5" thickTop="1" thickBot="1" x14ac:dyDescent="0.4">
      <c r="A157" s="34"/>
      <c r="B157" s="34"/>
      <c r="C157" s="34"/>
      <c r="D157" s="35" t="s">
        <v>25</v>
      </c>
      <c r="E157" s="17">
        <f>E150+E156</f>
        <v>800000</v>
      </c>
    </row>
    <row r="158" spans="1:11" ht="18" thickTop="1" thickBot="1" x14ac:dyDescent="0.45">
      <c r="A158" s="124" t="s">
        <v>26</v>
      </c>
      <c r="B158" s="125"/>
      <c r="C158" s="34"/>
      <c r="D158" s="35" t="s">
        <v>27</v>
      </c>
      <c r="E158" s="38">
        <v>0</v>
      </c>
    </row>
    <row r="159" spans="1:11" ht="17.5" thickBot="1" x14ac:dyDescent="0.45">
      <c r="A159" s="126" t="s">
        <v>28</v>
      </c>
      <c r="B159" s="127"/>
      <c r="C159" s="41"/>
      <c r="D159" s="35" t="s">
        <v>29</v>
      </c>
      <c r="E159" s="42">
        <f>(E157+E158)</f>
        <v>800000</v>
      </c>
    </row>
    <row r="160" spans="1:11" ht="15" x14ac:dyDescent="0.4">
      <c r="A160" s="126" t="s">
        <v>30</v>
      </c>
      <c r="B160" s="127"/>
      <c r="C160" s="3"/>
      <c r="D160" s="3"/>
      <c r="E160" s="15"/>
    </row>
    <row r="161" spans="1:8" ht="15" x14ac:dyDescent="0.4">
      <c r="A161" s="128" t="s">
        <v>31</v>
      </c>
      <c r="B161" s="129"/>
      <c r="C161" s="3"/>
      <c r="D161" s="3"/>
      <c r="E161" s="15"/>
    </row>
    <row r="162" spans="1:8" ht="15.5" thickBot="1" x14ac:dyDescent="0.45">
      <c r="A162" s="130" t="s">
        <v>142</v>
      </c>
      <c r="B162" s="131"/>
      <c r="C162" s="3"/>
      <c r="D162" s="3"/>
      <c r="E162" s="47"/>
    </row>
    <row r="163" spans="1:8" ht="15" thickTop="1" x14ac:dyDescent="0.35">
      <c r="A163" s="48"/>
      <c r="B163" s="49"/>
      <c r="C163" s="3"/>
      <c r="D163" s="3"/>
      <c r="E163" s="47"/>
    </row>
    <row r="164" spans="1:8" x14ac:dyDescent="0.35">
      <c r="A164" s="211" t="s">
        <v>33</v>
      </c>
      <c r="B164" s="211"/>
      <c r="C164" s="211" t="s">
        <v>1</v>
      </c>
      <c r="D164" s="211"/>
      <c r="E164" s="211"/>
    </row>
    <row r="166" spans="1:8" x14ac:dyDescent="0.35">
      <c r="H166" t="s">
        <v>73</v>
      </c>
    </row>
    <row r="168" spans="1:8" x14ac:dyDescent="0.35">
      <c r="A168" s="212" t="s">
        <v>34</v>
      </c>
      <c r="B168" s="212"/>
      <c r="C168" s="213" t="s">
        <v>149</v>
      </c>
      <c r="D168" s="213"/>
      <c r="E168" s="213"/>
    </row>
    <row r="169" spans="1:8" x14ac:dyDescent="0.35">
      <c r="D169" s="60" t="s">
        <v>36</v>
      </c>
      <c r="E169" s="51"/>
    </row>
    <row r="170" spans="1:8" ht="15" thickBot="1" x14ac:dyDescent="0.4">
      <c r="D170" s="51"/>
      <c r="E170" s="51"/>
    </row>
    <row r="171" spans="1:8" ht="15.5" thickTop="1" thickBot="1" x14ac:dyDescent="0.4">
      <c r="A171" s="266" t="s">
        <v>1</v>
      </c>
      <c r="B171" s="267"/>
      <c r="C171" s="3"/>
      <c r="D171" s="110" t="s">
        <v>0</v>
      </c>
      <c r="E171" s="111" t="s">
        <v>141</v>
      </c>
    </row>
    <row r="172" spans="1:8" ht="15.5" thickTop="1" thickBot="1" x14ac:dyDescent="0.4">
      <c r="A172" s="254"/>
      <c r="B172" s="255"/>
      <c r="C172" s="3"/>
      <c r="D172" s="110" t="s">
        <v>2</v>
      </c>
      <c r="E172" s="114">
        <v>45870</v>
      </c>
    </row>
    <row r="173" spans="1:8" ht="15.5" thickTop="1" thickBot="1" x14ac:dyDescent="0.4">
      <c r="A173" s="256" t="s">
        <v>104</v>
      </c>
      <c r="B173" s="257"/>
      <c r="C173" s="3"/>
      <c r="D173" s="269" t="s">
        <v>4</v>
      </c>
      <c r="E173" s="269"/>
    </row>
    <row r="174" spans="1:8" ht="15.5" thickTop="1" thickBot="1" x14ac:dyDescent="0.4">
      <c r="A174" s="256" t="s">
        <v>77</v>
      </c>
      <c r="B174" s="257"/>
      <c r="C174" s="3"/>
      <c r="D174" s="272" t="s">
        <v>6</v>
      </c>
      <c r="E174" s="273"/>
    </row>
    <row r="175" spans="1:8" ht="15.5" thickTop="1" thickBot="1" x14ac:dyDescent="0.4">
      <c r="A175" s="256" t="s">
        <v>78</v>
      </c>
      <c r="B175" s="257"/>
      <c r="C175" s="3"/>
      <c r="D175" s="274" t="s">
        <v>8</v>
      </c>
      <c r="E175" s="274"/>
    </row>
    <row r="176" spans="1:8" ht="16.5" customHeight="1" thickTop="1" thickBot="1" x14ac:dyDescent="0.4">
      <c r="A176" s="243" t="s">
        <v>11</v>
      </c>
      <c r="B176" s="244"/>
      <c r="D176" s="275" t="s">
        <v>10</v>
      </c>
      <c r="E176" s="276"/>
    </row>
    <row r="177" spans="1:11" ht="15.5" thickTop="1" thickBot="1" x14ac:dyDescent="0.4">
      <c r="A177" s="219" t="s">
        <v>79</v>
      </c>
      <c r="B177" s="220"/>
      <c r="C177" s="3"/>
      <c r="D177" s="269" t="s">
        <v>143</v>
      </c>
      <c r="E177" s="269"/>
    </row>
    <row r="178" spans="1:11" ht="15" thickTop="1" x14ac:dyDescent="0.35">
      <c r="A178" s="13"/>
      <c r="B178" s="13"/>
      <c r="C178" s="3"/>
      <c r="D178" s="14"/>
      <c r="E178" s="14"/>
    </row>
    <row r="179" spans="1:11" x14ac:dyDescent="0.35">
      <c r="A179" s="13"/>
      <c r="B179" s="13"/>
      <c r="C179" s="3"/>
      <c r="D179" s="14"/>
      <c r="E179" s="14"/>
    </row>
    <row r="180" spans="1:11" ht="29.5" x14ac:dyDescent="0.55000000000000004">
      <c r="A180" s="223" t="s">
        <v>87</v>
      </c>
      <c r="B180" s="223"/>
      <c r="C180" s="223"/>
      <c r="D180" s="223"/>
      <c r="E180" s="223"/>
    </row>
    <row r="181" spans="1:11" ht="9" customHeight="1" x14ac:dyDescent="0.55000000000000004">
      <c r="A181" s="132"/>
      <c r="B181" s="132"/>
      <c r="C181" s="132"/>
      <c r="D181" s="132"/>
      <c r="E181" s="132"/>
    </row>
    <row r="182" spans="1:11" ht="15" thickBot="1" x14ac:dyDescent="0.4">
      <c r="A182" s="224" t="s">
        <v>138</v>
      </c>
      <c r="B182" s="224"/>
      <c r="C182" s="3"/>
      <c r="D182" s="3"/>
      <c r="E182" s="15"/>
    </row>
    <row r="183" spans="1:11" ht="15.5" thickTop="1" thickBot="1" x14ac:dyDescent="0.4">
      <c r="A183" s="16" t="s">
        <v>14</v>
      </c>
      <c r="B183" s="225" t="s">
        <v>15</v>
      </c>
      <c r="C183" s="226"/>
      <c r="D183" s="226"/>
      <c r="E183" s="17" t="s">
        <v>16</v>
      </c>
    </row>
    <row r="184" spans="1:11" ht="15" thickTop="1" x14ac:dyDescent="0.35">
      <c r="A184" s="270">
        <v>1</v>
      </c>
      <c r="B184" s="19" t="s">
        <v>17</v>
      </c>
      <c r="C184" s="20"/>
      <c r="D184" s="20"/>
      <c r="E184" s="21">
        <v>800000</v>
      </c>
    </row>
    <row r="185" spans="1:11" x14ac:dyDescent="0.35">
      <c r="A185" s="271"/>
      <c r="B185" s="22" t="s">
        <v>18</v>
      </c>
      <c r="C185" s="23">
        <f>'Meterading 2025'!B49</f>
        <v>97599</v>
      </c>
      <c r="D185" s="24"/>
      <c r="E185" s="25"/>
    </row>
    <row r="186" spans="1:11" ht="15" x14ac:dyDescent="0.4">
      <c r="A186" s="271"/>
      <c r="B186" s="22" t="s">
        <v>19</v>
      </c>
      <c r="C186" s="26">
        <f>'Meterading 2025'!C49</f>
        <v>99129</v>
      </c>
      <c r="D186" s="27" t="s">
        <v>20</v>
      </c>
      <c r="E186" s="25"/>
      <c r="K186" t="s">
        <v>91</v>
      </c>
    </row>
    <row r="187" spans="1:11" x14ac:dyDescent="0.35">
      <c r="A187" s="271"/>
      <c r="B187" s="22" t="s">
        <v>21</v>
      </c>
      <c r="C187" s="23">
        <f>C186-C185</f>
        <v>1530</v>
      </c>
      <c r="D187" s="27"/>
      <c r="E187" s="25"/>
    </row>
    <row r="188" spans="1:11" ht="15" x14ac:dyDescent="0.4">
      <c r="A188" s="271"/>
      <c r="B188" s="22" t="s">
        <v>22</v>
      </c>
      <c r="C188" s="26">
        <v>2000</v>
      </c>
      <c r="D188" s="27" t="s">
        <v>20</v>
      </c>
      <c r="E188" s="25"/>
    </row>
    <row r="189" spans="1:11" ht="15" thickBot="1" x14ac:dyDescent="0.4">
      <c r="A189" s="28"/>
      <c r="B189" s="22" t="s">
        <v>21</v>
      </c>
      <c r="C189" s="23">
        <f>+C187-C188</f>
        <v>-470</v>
      </c>
      <c r="D189" s="27"/>
      <c r="E189" s="25"/>
    </row>
    <row r="190" spans="1:11" ht="15.5" thickTop="1" thickBot="1" x14ac:dyDescent="0.4">
      <c r="A190" s="29">
        <v>2</v>
      </c>
      <c r="B190" s="30" t="s">
        <v>23</v>
      </c>
      <c r="C190" s="31" t="s">
        <v>24</v>
      </c>
      <c r="D190" s="32">
        <v>90</v>
      </c>
      <c r="E190" s="33"/>
    </row>
    <row r="191" spans="1:11" ht="15.5" thickTop="1" thickBot="1" x14ac:dyDescent="0.4">
      <c r="A191" s="34"/>
      <c r="B191" s="34"/>
      <c r="C191" s="34"/>
      <c r="D191" s="35" t="s">
        <v>25</v>
      </c>
      <c r="E191" s="17">
        <f>E184+E190</f>
        <v>800000</v>
      </c>
    </row>
    <row r="192" spans="1:11" ht="18" thickTop="1" thickBot="1" x14ac:dyDescent="0.45">
      <c r="A192" s="124" t="s">
        <v>26</v>
      </c>
      <c r="B192" s="125"/>
      <c r="C192" s="34"/>
      <c r="D192" s="35" t="s">
        <v>27</v>
      </c>
      <c r="E192" s="38">
        <v>0</v>
      </c>
    </row>
    <row r="193" spans="1:8" ht="17.5" thickBot="1" x14ac:dyDescent="0.45">
      <c r="A193" s="126" t="s">
        <v>28</v>
      </c>
      <c r="B193" s="127"/>
      <c r="C193" s="41"/>
      <c r="D193" s="35" t="s">
        <v>29</v>
      </c>
      <c r="E193" s="42">
        <f>(E191+E192)</f>
        <v>800000</v>
      </c>
    </row>
    <row r="194" spans="1:8" ht="15" x14ac:dyDescent="0.4">
      <c r="A194" s="126" t="s">
        <v>30</v>
      </c>
      <c r="B194" s="127"/>
      <c r="C194" s="3"/>
      <c r="D194" s="3"/>
      <c r="E194" s="15"/>
    </row>
    <row r="195" spans="1:8" ht="15" x14ac:dyDescent="0.4">
      <c r="A195" s="128" t="s">
        <v>31</v>
      </c>
      <c r="B195" s="129"/>
      <c r="C195" s="3"/>
      <c r="D195" s="3"/>
      <c r="E195" s="15"/>
    </row>
    <row r="196" spans="1:8" ht="15.5" thickBot="1" x14ac:dyDescent="0.45">
      <c r="A196" s="130" t="s">
        <v>142</v>
      </c>
      <c r="B196" s="131"/>
      <c r="C196" s="3"/>
      <c r="D196" s="3"/>
      <c r="E196" s="47"/>
    </row>
    <row r="197" spans="1:8" ht="15" thickTop="1" x14ac:dyDescent="0.35">
      <c r="A197" s="48"/>
      <c r="B197" s="49"/>
      <c r="C197" s="3"/>
      <c r="D197" s="3"/>
      <c r="E197" s="47"/>
    </row>
    <row r="198" spans="1:8" x14ac:dyDescent="0.35">
      <c r="A198" s="211" t="s">
        <v>33</v>
      </c>
      <c r="B198" s="211"/>
      <c r="C198" s="211" t="s">
        <v>1</v>
      </c>
      <c r="D198" s="211"/>
      <c r="E198" s="211"/>
    </row>
    <row r="200" spans="1:8" x14ac:dyDescent="0.35">
      <c r="H200" t="s">
        <v>73</v>
      </c>
    </row>
    <row r="202" spans="1:8" x14ac:dyDescent="0.35">
      <c r="A202" s="212" t="s">
        <v>34</v>
      </c>
      <c r="B202" s="212"/>
      <c r="C202" s="277" t="s">
        <v>106</v>
      </c>
      <c r="D202" s="277"/>
      <c r="E202" s="277"/>
    </row>
    <row r="203" spans="1:8" x14ac:dyDescent="0.35">
      <c r="D203" s="51" t="s">
        <v>36</v>
      </c>
      <c r="E203" s="51"/>
    </row>
    <row r="204" spans="1:8" ht="15" thickBot="1" x14ac:dyDescent="0.4">
      <c r="D204" s="51"/>
      <c r="E204" s="51"/>
    </row>
    <row r="205" spans="1:8" ht="15.5" thickTop="1" thickBot="1" x14ac:dyDescent="0.4">
      <c r="A205" s="266" t="s">
        <v>1</v>
      </c>
      <c r="B205" s="267"/>
      <c r="C205" s="3"/>
      <c r="D205" s="110" t="s">
        <v>0</v>
      </c>
      <c r="E205" s="111" t="s">
        <v>137</v>
      </c>
    </row>
    <row r="206" spans="1:8" ht="15.5" thickTop="1" thickBot="1" x14ac:dyDescent="0.4">
      <c r="A206" s="254"/>
      <c r="B206" s="255"/>
      <c r="C206" s="3"/>
      <c r="D206" s="110" t="s">
        <v>2</v>
      </c>
      <c r="E206" s="114">
        <v>45839</v>
      </c>
    </row>
    <row r="207" spans="1:8" ht="15.5" thickTop="1" thickBot="1" x14ac:dyDescent="0.4">
      <c r="A207" s="256" t="s">
        <v>104</v>
      </c>
      <c r="B207" s="257"/>
      <c r="C207" s="3"/>
      <c r="D207" s="269" t="s">
        <v>4</v>
      </c>
      <c r="E207" s="269"/>
    </row>
    <row r="208" spans="1:8" ht="15.5" thickTop="1" thickBot="1" x14ac:dyDescent="0.4">
      <c r="A208" s="256" t="s">
        <v>77</v>
      </c>
      <c r="B208" s="257"/>
      <c r="C208" s="3"/>
      <c r="D208" s="272" t="s">
        <v>6</v>
      </c>
      <c r="E208" s="273"/>
    </row>
    <row r="209" spans="1:11" ht="15.5" thickTop="1" thickBot="1" x14ac:dyDescent="0.4">
      <c r="A209" s="256" t="s">
        <v>78</v>
      </c>
      <c r="B209" s="257"/>
      <c r="C209" s="3"/>
      <c r="D209" s="274" t="s">
        <v>8</v>
      </c>
      <c r="E209" s="274"/>
    </row>
    <row r="210" spans="1:11" ht="16.5" customHeight="1" thickTop="1" thickBot="1" x14ac:dyDescent="0.4">
      <c r="A210" s="243" t="s">
        <v>11</v>
      </c>
      <c r="B210" s="244"/>
      <c r="D210" s="275" t="s">
        <v>10</v>
      </c>
      <c r="E210" s="276"/>
    </row>
    <row r="211" spans="1:11" ht="15.5" thickTop="1" thickBot="1" x14ac:dyDescent="0.4">
      <c r="A211" s="219" t="s">
        <v>79</v>
      </c>
      <c r="B211" s="220"/>
      <c r="C211" s="3"/>
      <c r="D211" s="278" t="s">
        <v>12</v>
      </c>
      <c r="E211" s="278"/>
    </row>
    <row r="212" spans="1:11" ht="15" thickTop="1" x14ac:dyDescent="0.35">
      <c r="A212" s="13"/>
      <c r="B212" s="13"/>
      <c r="C212" s="3"/>
      <c r="D212" s="14"/>
      <c r="E212" s="14"/>
    </row>
    <row r="213" spans="1:11" ht="15" thickBot="1" x14ac:dyDescent="0.4">
      <c r="A213" s="224" t="s">
        <v>134</v>
      </c>
      <c r="B213" s="224"/>
      <c r="C213" s="3"/>
      <c r="D213" s="3"/>
      <c r="E213" s="15"/>
    </row>
    <row r="214" spans="1:11" ht="15.5" thickTop="1" thickBot="1" x14ac:dyDescent="0.4">
      <c r="A214" s="16" t="s">
        <v>14</v>
      </c>
      <c r="B214" s="225" t="s">
        <v>15</v>
      </c>
      <c r="C214" s="226"/>
      <c r="D214" s="226"/>
      <c r="E214" s="17" t="s">
        <v>16</v>
      </c>
    </row>
    <row r="215" spans="1:11" ht="15" thickTop="1" x14ac:dyDescent="0.35">
      <c r="A215" s="270">
        <v>1</v>
      </c>
      <c r="B215" s="19" t="s">
        <v>17</v>
      </c>
      <c r="C215" s="20"/>
      <c r="D215" s="20"/>
      <c r="E215" s="21">
        <v>800000</v>
      </c>
    </row>
    <row r="216" spans="1:11" x14ac:dyDescent="0.35">
      <c r="A216" s="271"/>
      <c r="B216" s="22" t="s">
        <v>18</v>
      </c>
      <c r="C216" s="23">
        <f>'Meterading 2025'!B48</f>
        <v>96300</v>
      </c>
      <c r="D216" s="24"/>
      <c r="E216" s="25"/>
    </row>
    <row r="217" spans="1:11" ht="15" x14ac:dyDescent="0.4">
      <c r="A217" s="271"/>
      <c r="B217" s="22" t="s">
        <v>19</v>
      </c>
      <c r="C217" s="26">
        <f>'Meterading 2025'!C48</f>
        <v>97599</v>
      </c>
      <c r="D217" s="27" t="s">
        <v>20</v>
      </c>
      <c r="E217" s="25"/>
      <c r="K217" t="s">
        <v>91</v>
      </c>
    </row>
    <row r="218" spans="1:11" x14ac:dyDescent="0.35">
      <c r="A218" s="271"/>
      <c r="B218" s="22" t="s">
        <v>21</v>
      </c>
      <c r="C218" s="23">
        <f>C217-C216</f>
        <v>1299</v>
      </c>
      <c r="D218" s="27"/>
      <c r="E218" s="25"/>
    </row>
    <row r="219" spans="1:11" ht="15" x14ac:dyDescent="0.4">
      <c r="A219" s="271"/>
      <c r="B219" s="22" t="s">
        <v>22</v>
      </c>
      <c r="C219" s="26">
        <v>2000</v>
      </c>
      <c r="D219" s="27" t="s">
        <v>20</v>
      </c>
      <c r="E219" s="25"/>
    </row>
    <row r="220" spans="1:11" ht="15" thickBot="1" x14ac:dyDescent="0.4">
      <c r="A220" s="28"/>
      <c r="B220" s="22" t="s">
        <v>21</v>
      </c>
      <c r="C220" s="23">
        <f>+C218-C219</f>
        <v>-701</v>
      </c>
      <c r="D220" s="27"/>
      <c r="E220" s="25"/>
    </row>
    <row r="221" spans="1:11" ht="15.5" thickTop="1" thickBot="1" x14ac:dyDescent="0.4">
      <c r="A221" s="29">
        <v>2</v>
      </c>
      <c r="B221" s="30" t="s">
        <v>23</v>
      </c>
      <c r="C221" s="31" t="s">
        <v>24</v>
      </c>
      <c r="D221" s="32">
        <v>90</v>
      </c>
      <c r="E221" s="33"/>
    </row>
    <row r="222" spans="1:11" ht="15.5" thickTop="1" thickBot="1" x14ac:dyDescent="0.4">
      <c r="A222" s="34"/>
      <c r="B222" s="34"/>
      <c r="C222" s="34"/>
      <c r="D222" s="35" t="s">
        <v>25</v>
      </c>
      <c r="E222" s="17">
        <f>E215+E221</f>
        <v>800000</v>
      </c>
    </row>
    <row r="223" spans="1:11" ht="18" thickTop="1" thickBot="1" x14ac:dyDescent="0.45">
      <c r="A223" s="124" t="s">
        <v>26</v>
      </c>
      <c r="B223" s="125"/>
      <c r="C223" s="34"/>
      <c r="D223" s="35" t="s">
        <v>27</v>
      </c>
      <c r="E223" s="38">
        <v>0</v>
      </c>
    </row>
    <row r="224" spans="1:11" ht="17.5" thickBot="1" x14ac:dyDescent="0.45">
      <c r="A224" s="126" t="s">
        <v>28</v>
      </c>
      <c r="B224" s="127"/>
      <c r="C224" s="41"/>
      <c r="D224" s="35" t="s">
        <v>29</v>
      </c>
      <c r="E224" s="42">
        <f>(E222+E223)</f>
        <v>800000</v>
      </c>
    </row>
    <row r="225" spans="1:8" ht="15" x14ac:dyDescent="0.4">
      <c r="A225" s="126" t="s">
        <v>30</v>
      </c>
      <c r="B225" s="127"/>
      <c r="C225" s="3"/>
      <c r="D225" s="3"/>
      <c r="E225" s="15"/>
    </row>
    <row r="226" spans="1:8" ht="15" x14ac:dyDescent="0.4">
      <c r="A226" s="128" t="s">
        <v>31</v>
      </c>
      <c r="B226" s="129"/>
      <c r="C226" s="3"/>
      <c r="D226" s="3"/>
      <c r="E226" s="15"/>
    </row>
    <row r="227" spans="1:8" ht="15.5" thickBot="1" x14ac:dyDescent="0.45">
      <c r="A227" s="130" t="s">
        <v>32</v>
      </c>
      <c r="B227" s="131"/>
      <c r="C227" s="3"/>
      <c r="D227" s="3"/>
      <c r="E227" s="47"/>
    </row>
    <row r="228" spans="1:8" ht="15" thickTop="1" x14ac:dyDescent="0.35">
      <c r="A228" s="48"/>
      <c r="B228" s="49"/>
      <c r="C228" s="3"/>
      <c r="D228" s="3"/>
      <c r="E228" s="47"/>
    </row>
    <row r="229" spans="1:8" x14ac:dyDescent="0.35">
      <c r="A229" s="211" t="s">
        <v>33</v>
      </c>
      <c r="B229" s="211"/>
      <c r="C229" s="211" t="s">
        <v>1</v>
      </c>
      <c r="D229" s="211"/>
      <c r="E229" s="211"/>
    </row>
    <row r="231" spans="1:8" x14ac:dyDescent="0.35">
      <c r="H231" t="s">
        <v>73</v>
      </c>
    </row>
    <row r="233" spans="1:8" x14ac:dyDescent="0.35">
      <c r="A233" s="212" t="s">
        <v>34</v>
      </c>
      <c r="B233" s="212"/>
      <c r="C233" s="277" t="s">
        <v>106</v>
      </c>
      <c r="D233" s="277"/>
      <c r="E233" s="277"/>
    </row>
    <row r="234" spans="1:8" x14ac:dyDescent="0.35">
      <c r="D234" s="51" t="s">
        <v>36</v>
      </c>
      <c r="E234" s="51"/>
    </row>
    <row r="235" spans="1:8" ht="15" thickBot="1" x14ac:dyDescent="0.4">
      <c r="D235" s="51"/>
      <c r="E235" s="51"/>
    </row>
    <row r="236" spans="1:8" ht="15.5" thickTop="1" thickBot="1" x14ac:dyDescent="0.4">
      <c r="A236" s="266" t="s">
        <v>1</v>
      </c>
      <c r="B236" s="267"/>
      <c r="C236" s="3"/>
      <c r="D236" s="110" t="s">
        <v>0</v>
      </c>
      <c r="E236" s="111" t="s">
        <v>132</v>
      </c>
    </row>
    <row r="237" spans="1:8" ht="15.5" thickTop="1" thickBot="1" x14ac:dyDescent="0.4">
      <c r="A237" s="254"/>
      <c r="B237" s="255"/>
      <c r="C237" s="3"/>
      <c r="D237" s="110" t="s">
        <v>2</v>
      </c>
      <c r="E237" s="114">
        <v>45810</v>
      </c>
    </row>
    <row r="238" spans="1:8" ht="15.5" thickTop="1" thickBot="1" x14ac:dyDescent="0.4">
      <c r="A238" s="256" t="s">
        <v>104</v>
      </c>
      <c r="B238" s="257"/>
      <c r="C238" s="3"/>
      <c r="D238" s="269" t="s">
        <v>4</v>
      </c>
      <c r="E238" s="269"/>
    </row>
    <row r="239" spans="1:8" ht="15.5" thickTop="1" thickBot="1" x14ac:dyDescent="0.4">
      <c r="A239" s="256" t="s">
        <v>77</v>
      </c>
      <c r="B239" s="257"/>
      <c r="C239" s="3"/>
      <c r="D239" s="272" t="s">
        <v>6</v>
      </c>
      <c r="E239" s="273"/>
    </row>
    <row r="240" spans="1:8" ht="15.5" thickTop="1" thickBot="1" x14ac:dyDescent="0.4">
      <c r="A240" s="256" t="s">
        <v>78</v>
      </c>
      <c r="B240" s="257"/>
      <c r="C240" s="3"/>
      <c r="D240" s="274" t="s">
        <v>8</v>
      </c>
      <c r="E240" s="274"/>
    </row>
    <row r="241" spans="1:11" ht="16.5" customHeight="1" thickTop="1" thickBot="1" x14ac:dyDescent="0.4">
      <c r="A241" s="243" t="s">
        <v>11</v>
      </c>
      <c r="B241" s="244"/>
      <c r="D241" s="275" t="s">
        <v>10</v>
      </c>
      <c r="E241" s="276"/>
    </row>
    <row r="242" spans="1:11" ht="15.5" thickTop="1" thickBot="1" x14ac:dyDescent="0.4">
      <c r="A242" s="219" t="s">
        <v>79</v>
      </c>
      <c r="B242" s="220"/>
      <c r="C242" s="3"/>
      <c r="D242" s="278" t="s">
        <v>12</v>
      </c>
      <c r="E242" s="278"/>
    </row>
    <row r="243" spans="1:11" ht="15" thickTop="1" x14ac:dyDescent="0.35">
      <c r="A243" s="13"/>
      <c r="B243" s="13"/>
      <c r="C243" s="3"/>
      <c r="D243" s="14"/>
      <c r="E243" s="14"/>
    </row>
    <row r="244" spans="1:11" ht="15" thickBot="1" x14ac:dyDescent="0.4">
      <c r="A244" s="224" t="s">
        <v>133</v>
      </c>
      <c r="B244" s="224"/>
      <c r="C244" s="3"/>
      <c r="D244" s="3"/>
      <c r="E244" s="15"/>
    </row>
    <row r="245" spans="1:11" ht="15.5" thickTop="1" thickBot="1" x14ac:dyDescent="0.4">
      <c r="A245" s="16" t="s">
        <v>14</v>
      </c>
      <c r="B245" s="225" t="s">
        <v>15</v>
      </c>
      <c r="C245" s="226"/>
      <c r="D245" s="226"/>
      <c r="E245" s="17" t="s">
        <v>16</v>
      </c>
    </row>
    <row r="246" spans="1:11" ht="15" thickTop="1" x14ac:dyDescent="0.35">
      <c r="A246" s="270">
        <v>1</v>
      </c>
      <c r="B246" s="19" t="s">
        <v>17</v>
      </c>
      <c r="C246" s="20"/>
      <c r="D246" s="20"/>
      <c r="E246" s="21">
        <v>800000</v>
      </c>
    </row>
    <row r="247" spans="1:11" x14ac:dyDescent="0.35">
      <c r="A247" s="271"/>
      <c r="B247" s="22" t="s">
        <v>18</v>
      </c>
      <c r="C247" s="23">
        <f>'Meterading 2025'!B47</f>
        <v>94657</v>
      </c>
      <c r="D247" s="24"/>
      <c r="E247" s="25"/>
    </row>
    <row r="248" spans="1:11" ht="15" x14ac:dyDescent="0.4">
      <c r="A248" s="271"/>
      <c r="B248" s="22" t="s">
        <v>19</v>
      </c>
      <c r="C248" s="26">
        <f>'Meterading 2025'!C47</f>
        <v>96300</v>
      </c>
      <c r="D248" s="27" t="s">
        <v>20</v>
      </c>
      <c r="E248" s="25"/>
      <c r="K248" t="s">
        <v>91</v>
      </c>
    </row>
    <row r="249" spans="1:11" x14ac:dyDescent="0.35">
      <c r="A249" s="271"/>
      <c r="B249" s="22" t="s">
        <v>21</v>
      </c>
      <c r="C249" s="23">
        <f>C248-C247</f>
        <v>1643</v>
      </c>
      <c r="D249" s="27"/>
      <c r="E249" s="25"/>
    </row>
    <row r="250" spans="1:11" ht="15" x14ac:dyDescent="0.4">
      <c r="A250" s="271"/>
      <c r="B250" s="22" t="s">
        <v>22</v>
      </c>
      <c r="C250" s="26">
        <v>2000</v>
      </c>
      <c r="D250" s="27" t="s">
        <v>20</v>
      </c>
      <c r="E250" s="25"/>
    </row>
    <row r="251" spans="1:11" ht="15" thickBot="1" x14ac:dyDescent="0.4">
      <c r="A251" s="28"/>
      <c r="B251" s="22" t="s">
        <v>21</v>
      </c>
      <c r="C251" s="23">
        <f>+C249-C250</f>
        <v>-357</v>
      </c>
      <c r="D251" s="27"/>
      <c r="E251" s="25"/>
    </row>
    <row r="252" spans="1:11" ht="15.5" thickTop="1" thickBot="1" x14ac:dyDescent="0.4">
      <c r="A252" s="29">
        <v>2</v>
      </c>
      <c r="B252" s="30" t="s">
        <v>23</v>
      </c>
      <c r="C252" s="31" t="s">
        <v>24</v>
      </c>
      <c r="D252" s="32">
        <v>90</v>
      </c>
      <c r="E252" s="33"/>
    </row>
    <row r="253" spans="1:11" ht="15.5" thickTop="1" thickBot="1" x14ac:dyDescent="0.4">
      <c r="A253" s="34"/>
      <c r="B253" s="34"/>
      <c r="C253" s="34"/>
      <c r="D253" s="35" t="s">
        <v>25</v>
      </c>
      <c r="E253" s="17">
        <f>E246+E252</f>
        <v>800000</v>
      </c>
    </row>
    <row r="254" spans="1:11" ht="18" thickTop="1" thickBot="1" x14ac:dyDescent="0.45">
      <c r="A254" s="124" t="s">
        <v>26</v>
      </c>
      <c r="B254" s="125"/>
      <c r="C254" s="34"/>
      <c r="D254" s="35" t="s">
        <v>27</v>
      </c>
      <c r="E254" s="38">
        <v>0</v>
      </c>
    </row>
    <row r="255" spans="1:11" ht="17.5" thickBot="1" x14ac:dyDescent="0.45">
      <c r="A255" s="126" t="s">
        <v>28</v>
      </c>
      <c r="B255" s="127"/>
      <c r="C255" s="41"/>
      <c r="D255" s="35" t="s">
        <v>29</v>
      </c>
      <c r="E255" s="42">
        <f>(E253+E254)</f>
        <v>800000</v>
      </c>
    </row>
    <row r="256" spans="1:11" ht="15" x14ac:dyDescent="0.4">
      <c r="A256" s="126" t="s">
        <v>30</v>
      </c>
      <c r="B256" s="127"/>
      <c r="C256" s="3"/>
      <c r="D256" s="3"/>
      <c r="E256" s="15"/>
    </row>
    <row r="257" spans="1:8" ht="15" x14ac:dyDescent="0.4">
      <c r="A257" s="128" t="s">
        <v>31</v>
      </c>
      <c r="B257" s="129"/>
      <c r="C257" s="3"/>
      <c r="D257" s="3"/>
      <c r="E257" s="15"/>
    </row>
    <row r="258" spans="1:8" ht="15.5" thickBot="1" x14ac:dyDescent="0.45">
      <c r="A258" s="130" t="s">
        <v>32</v>
      </c>
      <c r="B258" s="131"/>
      <c r="C258" s="3"/>
      <c r="D258" s="3"/>
      <c r="E258" s="47"/>
    </row>
    <row r="259" spans="1:8" ht="15" thickTop="1" x14ac:dyDescent="0.35">
      <c r="A259" s="48"/>
      <c r="B259" s="49"/>
      <c r="C259" s="3"/>
      <c r="D259" s="3"/>
      <c r="E259" s="47"/>
    </row>
    <row r="260" spans="1:8" x14ac:dyDescent="0.35">
      <c r="A260" s="211" t="s">
        <v>33</v>
      </c>
      <c r="B260" s="211"/>
      <c r="C260" s="211" t="s">
        <v>1</v>
      </c>
      <c r="D260" s="211"/>
      <c r="E260" s="211"/>
    </row>
    <row r="262" spans="1:8" x14ac:dyDescent="0.35">
      <c r="H262" t="s">
        <v>73</v>
      </c>
    </row>
    <row r="264" spans="1:8" x14ac:dyDescent="0.35">
      <c r="A264" s="212" t="s">
        <v>34</v>
      </c>
      <c r="B264" s="212"/>
      <c r="C264" s="277" t="s">
        <v>106</v>
      </c>
      <c r="D264" s="277"/>
      <c r="E264" s="277"/>
    </row>
    <row r="265" spans="1:8" x14ac:dyDescent="0.35">
      <c r="D265" s="51" t="s">
        <v>36</v>
      </c>
      <c r="E265" s="51"/>
    </row>
    <row r="266" spans="1:8" ht="15" thickBot="1" x14ac:dyDescent="0.4">
      <c r="D266" s="51"/>
      <c r="E266" s="51"/>
    </row>
    <row r="267" spans="1:8" ht="15.5" thickTop="1" thickBot="1" x14ac:dyDescent="0.4">
      <c r="A267" s="266" t="s">
        <v>1</v>
      </c>
      <c r="B267" s="267"/>
      <c r="C267" s="3"/>
      <c r="D267" s="110" t="s">
        <v>0</v>
      </c>
      <c r="E267" s="111" t="s">
        <v>128</v>
      </c>
    </row>
    <row r="268" spans="1:8" ht="15.5" thickTop="1" thickBot="1" x14ac:dyDescent="0.4">
      <c r="A268" s="254"/>
      <c r="B268" s="255"/>
      <c r="C268" s="3"/>
      <c r="D268" s="110" t="s">
        <v>2</v>
      </c>
      <c r="E268" s="112">
        <v>45779</v>
      </c>
    </row>
    <row r="269" spans="1:8" ht="15.5" thickTop="1" thickBot="1" x14ac:dyDescent="0.4">
      <c r="A269" s="256" t="s">
        <v>104</v>
      </c>
      <c r="B269" s="257"/>
      <c r="C269" s="3"/>
      <c r="D269" s="269" t="s">
        <v>4</v>
      </c>
      <c r="E269" s="269"/>
    </row>
    <row r="270" spans="1:8" ht="15.5" thickTop="1" thickBot="1" x14ac:dyDescent="0.4">
      <c r="A270" s="256" t="s">
        <v>77</v>
      </c>
      <c r="B270" s="257"/>
      <c r="C270" s="3"/>
      <c r="D270" s="272" t="s">
        <v>6</v>
      </c>
      <c r="E270" s="273"/>
    </row>
    <row r="271" spans="1:8" ht="15.5" thickTop="1" thickBot="1" x14ac:dyDescent="0.4">
      <c r="A271" s="256" t="s">
        <v>78</v>
      </c>
      <c r="B271" s="257"/>
      <c r="C271" s="3"/>
      <c r="D271" s="274" t="s">
        <v>8</v>
      </c>
      <c r="E271" s="274"/>
    </row>
    <row r="272" spans="1:8" ht="16.5" customHeight="1" thickTop="1" thickBot="1" x14ac:dyDescent="0.4">
      <c r="A272" s="243" t="s">
        <v>11</v>
      </c>
      <c r="B272" s="244"/>
      <c r="D272" s="275" t="s">
        <v>10</v>
      </c>
      <c r="E272" s="276"/>
    </row>
    <row r="273" spans="1:11" ht="15.5" thickTop="1" thickBot="1" x14ac:dyDescent="0.4">
      <c r="A273" s="219" t="s">
        <v>79</v>
      </c>
      <c r="B273" s="220"/>
      <c r="C273" s="3"/>
      <c r="D273" s="278" t="s">
        <v>12</v>
      </c>
      <c r="E273" s="278"/>
    </row>
    <row r="274" spans="1:11" ht="15" thickTop="1" x14ac:dyDescent="0.35">
      <c r="A274" s="13"/>
      <c r="B274" s="13"/>
      <c r="C274" s="3"/>
      <c r="D274" s="14"/>
      <c r="E274" s="14"/>
    </row>
    <row r="275" spans="1:11" ht="15" thickBot="1" x14ac:dyDescent="0.4">
      <c r="A275" s="224" t="s">
        <v>129</v>
      </c>
      <c r="B275" s="224"/>
      <c r="C275" s="3"/>
      <c r="D275" s="3"/>
      <c r="E275" s="15"/>
    </row>
    <row r="276" spans="1:11" ht="15.5" thickTop="1" thickBot="1" x14ac:dyDescent="0.4">
      <c r="A276" s="16" t="s">
        <v>14</v>
      </c>
      <c r="B276" s="225" t="s">
        <v>15</v>
      </c>
      <c r="C276" s="226"/>
      <c r="D276" s="226"/>
      <c r="E276" s="17" t="s">
        <v>16</v>
      </c>
    </row>
    <row r="277" spans="1:11" ht="15" thickTop="1" x14ac:dyDescent="0.35">
      <c r="A277" s="270">
        <v>1</v>
      </c>
      <c r="B277" s="19" t="s">
        <v>17</v>
      </c>
      <c r="C277" s="20"/>
      <c r="D277" s="20"/>
      <c r="E277" s="21">
        <v>800000</v>
      </c>
    </row>
    <row r="278" spans="1:11" x14ac:dyDescent="0.35">
      <c r="A278" s="271"/>
      <c r="B278" s="22" t="s">
        <v>18</v>
      </c>
      <c r="C278" s="23">
        <f>'Meterading 2025'!B46</f>
        <v>92685</v>
      </c>
      <c r="D278" s="24"/>
      <c r="E278" s="25"/>
    </row>
    <row r="279" spans="1:11" ht="15" x14ac:dyDescent="0.4">
      <c r="A279" s="271"/>
      <c r="B279" s="22" t="s">
        <v>19</v>
      </c>
      <c r="C279" s="26">
        <f>'Meterading 2025'!C46</f>
        <v>94657</v>
      </c>
      <c r="D279" s="27" t="s">
        <v>20</v>
      </c>
      <c r="E279" s="25"/>
      <c r="K279" t="s">
        <v>91</v>
      </c>
    </row>
    <row r="280" spans="1:11" x14ac:dyDescent="0.35">
      <c r="A280" s="271"/>
      <c r="B280" s="22" t="s">
        <v>21</v>
      </c>
      <c r="C280" s="23">
        <f>C279-C278</f>
        <v>1972</v>
      </c>
      <c r="D280" s="27"/>
      <c r="E280" s="25"/>
    </row>
    <row r="281" spans="1:11" ht="15" x14ac:dyDescent="0.4">
      <c r="A281" s="271"/>
      <c r="B281" s="22" t="s">
        <v>22</v>
      </c>
      <c r="C281" s="26">
        <v>2000</v>
      </c>
      <c r="D281" s="27" t="s">
        <v>20</v>
      </c>
      <c r="E281" s="25"/>
    </row>
    <row r="282" spans="1:11" ht="15" thickBot="1" x14ac:dyDescent="0.4">
      <c r="A282" s="28"/>
      <c r="B282" s="22" t="s">
        <v>21</v>
      </c>
      <c r="C282" s="23">
        <f>+C280-C281</f>
        <v>-28</v>
      </c>
      <c r="D282" s="27"/>
      <c r="E282" s="25"/>
    </row>
    <row r="283" spans="1:11" ht="15.5" thickTop="1" thickBot="1" x14ac:dyDescent="0.4">
      <c r="A283" s="29">
        <v>2</v>
      </c>
      <c r="B283" s="30" t="s">
        <v>23</v>
      </c>
      <c r="C283" s="31" t="s">
        <v>24</v>
      </c>
      <c r="D283" s="32">
        <v>90</v>
      </c>
      <c r="E283" s="33"/>
    </row>
    <row r="284" spans="1:11" ht="15.5" thickTop="1" thickBot="1" x14ac:dyDescent="0.4">
      <c r="A284" s="34"/>
      <c r="B284" s="34"/>
      <c r="C284" s="34"/>
      <c r="D284" s="35" t="s">
        <v>25</v>
      </c>
      <c r="E284" s="17">
        <f>E277+E283</f>
        <v>800000</v>
      </c>
    </row>
    <row r="285" spans="1:11" ht="18" thickTop="1" thickBot="1" x14ac:dyDescent="0.45">
      <c r="A285" s="124" t="s">
        <v>26</v>
      </c>
      <c r="B285" s="125"/>
      <c r="C285" s="34"/>
      <c r="D285" s="35" t="s">
        <v>27</v>
      </c>
      <c r="E285" s="38">
        <v>0</v>
      </c>
    </row>
    <row r="286" spans="1:11" ht="17.5" thickBot="1" x14ac:dyDescent="0.45">
      <c r="A286" s="126" t="s">
        <v>28</v>
      </c>
      <c r="B286" s="127"/>
      <c r="C286" s="41"/>
      <c r="D286" s="35" t="s">
        <v>29</v>
      </c>
      <c r="E286" s="42">
        <f>(E284+E285)</f>
        <v>800000</v>
      </c>
    </row>
    <row r="287" spans="1:11" ht="15" x14ac:dyDescent="0.4">
      <c r="A287" s="126" t="s">
        <v>30</v>
      </c>
      <c r="B287" s="127"/>
      <c r="C287" s="3"/>
      <c r="D287" s="3"/>
      <c r="E287" s="15"/>
    </row>
    <row r="288" spans="1:11" ht="15" x14ac:dyDescent="0.4">
      <c r="A288" s="128" t="s">
        <v>31</v>
      </c>
      <c r="B288" s="129"/>
      <c r="C288" s="3"/>
      <c r="D288" s="3"/>
      <c r="E288" s="15"/>
    </row>
    <row r="289" spans="1:8" ht="15.5" thickBot="1" x14ac:dyDescent="0.45">
      <c r="A289" s="130" t="s">
        <v>32</v>
      </c>
      <c r="B289" s="131"/>
      <c r="C289" s="3"/>
      <c r="D289" s="3"/>
      <c r="E289" s="47"/>
    </row>
    <row r="290" spans="1:8" ht="15" thickTop="1" x14ac:dyDescent="0.35">
      <c r="A290" s="48"/>
      <c r="B290" s="49"/>
      <c r="C290" s="3"/>
      <c r="D290" s="3"/>
      <c r="E290" s="47"/>
    </row>
    <row r="291" spans="1:8" x14ac:dyDescent="0.35">
      <c r="A291" s="211" t="s">
        <v>33</v>
      </c>
      <c r="B291" s="211"/>
      <c r="C291" s="211" t="s">
        <v>1</v>
      </c>
      <c r="D291" s="211"/>
      <c r="E291" s="211"/>
    </row>
    <row r="293" spans="1:8" x14ac:dyDescent="0.35">
      <c r="H293" t="s">
        <v>73</v>
      </c>
    </row>
    <row r="295" spans="1:8" x14ac:dyDescent="0.35">
      <c r="A295" s="212" t="s">
        <v>34</v>
      </c>
      <c r="B295" s="212"/>
      <c r="C295" s="277" t="s">
        <v>106</v>
      </c>
      <c r="D295" s="277"/>
      <c r="E295" s="277"/>
    </row>
    <row r="296" spans="1:8" x14ac:dyDescent="0.35">
      <c r="D296" s="51" t="s">
        <v>36</v>
      </c>
      <c r="E296" s="51"/>
    </row>
    <row r="297" spans="1:8" ht="15" thickBot="1" x14ac:dyDescent="0.4">
      <c r="D297" s="51"/>
      <c r="E297" s="51"/>
    </row>
    <row r="298" spans="1:8" ht="15.5" thickTop="1" thickBot="1" x14ac:dyDescent="0.4">
      <c r="A298" s="266" t="s">
        <v>1</v>
      </c>
      <c r="B298" s="267"/>
      <c r="C298" s="3"/>
      <c r="D298" s="110" t="s">
        <v>0</v>
      </c>
      <c r="E298" s="111" t="s">
        <v>128</v>
      </c>
    </row>
    <row r="299" spans="1:8" ht="15.5" thickTop="1" thickBot="1" x14ac:dyDescent="0.4">
      <c r="A299" s="254"/>
      <c r="B299" s="255"/>
      <c r="C299" s="3"/>
      <c r="D299" s="110" t="s">
        <v>2</v>
      </c>
      <c r="E299" s="112">
        <v>45779</v>
      </c>
    </row>
    <row r="300" spans="1:8" ht="15.5" thickTop="1" thickBot="1" x14ac:dyDescent="0.4">
      <c r="A300" s="256" t="s">
        <v>104</v>
      </c>
      <c r="B300" s="257"/>
      <c r="C300" s="3"/>
      <c r="D300" s="269" t="s">
        <v>4</v>
      </c>
      <c r="E300" s="269"/>
    </row>
    <row r="301" spans="1:8" ht="15.5" thickTop="1" thickBot="1" x14ac:dyDescent="0.4">
      <c r="A301" s="256" t="s">
        <v>77</v>
      </c>
      <c r="B301" s="257"/>
      <c r="C301" s="3"/>
      <c r="D301" s="272" t="s">
        <v>6</v>
      </c>
      <c r="E301" s="273"/>
    </row>
    <row r="302" spans="1:8" ht="15.5" thickTop="1" thickBot="1" x14ac:dyDescent="0.4">
      <c r="A302" s="256" t="s">
        <v>78</v>
      </c>
      <c r="B302" s="257"/>
      <c r="C302" s="3"/>
      <c r="D302" s="274" t="s">
        <v>8</v>
      </c>
      <c r="E302" s="274"/>
    </row>
    <row r="303" spans="1:8" ht="16.5" customHeight="1" thickTop="1" thickBot="1" x14ac:dyDescent="0.4">
      <c r="A303" s="243" t="s">
        <v>11</v>
      </c>
      <c r="B303" s="244"/>
      <c r="D303" s="275" t="s">
        <v>10</v>
      </c>
      <c r="E303" s="276"/>
    </row>
    <row r="304" spans="1:8" ht="15.5" thickTop="1" thickBot="1" x14ac:dyDescent="0.4">
      <c r="A304" s="219" t="s">
        <v>79</v>
      </c>
      <c r="B304" s="220"/>
      <c r="C304" s="3"/>
      <c r="D304" s="278" t="s">
        <v>12</v>
      </c>
      <c r="E304" s="278"/>
    </row>
    <row r="305" spans="1:11" ht="15" thickTop="1" x14ac:dyDescent="0.35">
      <c r="A305" s="13"/>
      <c r="B305" s="13"/>
      <c r="C305" s="3"/>
      <c r="D305" s="14"/>
      <c r="E305" s="14"/>
    </row>
    <row r="306" spans="1:11" ht="15" thickBot="1" x14ac:dyDescent="0.4">
      <c r="A306" s="224" t="s">
        <v>124</v>
      </c>
      <c r="B306" s="224"/>
      <c r="C306" s="3"/>
      <c r="D306" s="3"/>
      <c r="E306" s="15"/>
    </row>
    <row r="307" spans="1:11" ht="15.5" thickTop="1" thickBot="1" x14ac:dyDescent="0.4">
      <c r="A307" s="16" t="s">
        <v>14</v>
      </c>
      <c r="B307" s="225" t="s">
        <v>15</v>
      </c>
      <c r="C307" s="226"/>
      <c r="D307" s="226"/>
      <c r="E307" s="17" t="s">
        <v>16</v>
      </c>
    </row>
    <row r="308" spans="1:11" ht="15" thickTop="1" x14ac:dyDescent="0.35">
      <c r="A308" s="270">
        <v>1</v>
      </c>
      <c r="B308" s="19" t="s">
        <v>17</v>
      </c>
      <c r="C308" s="20"/>
      <c r="D308" s="20"/>
      <c r="E308" s="21">
        <v>800000</v>
      </c>
    </row>
    <row r="309" spans="1:11" x14ac:dyDescent="0.35">
      <c r="A309" s="271"/>
      <c r="B309" s="22" t="s">
        <v>18</v>
      </c>
      <c r="C309" s="23">
        <f>+'Meterading 2025'!B14</f>
        <v>85849</v>
      </c>
      <c r="D309" s="24"/>
      <c r="E309" s="25"/>
    </row>
    <row r="310" spans="1:11" ht="15" x14ac:dyDescent="0.4">
      <c r="A310" s="271"/>
      <c r="B310" s="22" t="s">
        <v>19</v>
      </c>
      <c r="C310" s="26">
        <f>+'Meterading 2025'!C14</f>
        <v>87477</v>
      </c>
      <c r="D310" s="27" t="s">
        <v>20</v>
      </c>
      <c r="E310" s="25"/>
      <c r="K310" t="s">
        <v>91</v>
      </c>
    </row>
    <row r="311" spans="1:11" x14ac:dyDescent="0.35">
      <c r="A311" s="271"/>
      <c r="B311" s="22" t="s">
        <v>21</v>
      </c>
      <c r="C311" s="23">
        <f>C310-C309</f>
        <v>1628</v>
      </c>
      <c r="D311" s="27"/>
      <c r="E311" s="25"/>
    </row>
    <row r="312" spans="1:11" ht="15" x14ac:dyDescent="0.4">
      <c r="A312" s="271"/>
      <c r="B312" s="22" t="s">
        <v>22</v>
      </c>
      <c r="C312" s="26">
        <v>2000</v>
      </c>
      <c r="D312" s="27" t="s">
        <v>20</v>
      </c>
      <c r="E312" s="25"/>
    </row>
    <row r="313" spans="1:11" ht="15" thickBot="1" x14ac:dyDescent="0.4">
      <c r="A313" s="28"/>
      <c r="B313" s="22" t="s">
        <v>21</v>
      </c>
      <c r="C313" s="23">
        <f>+C311-C312</f>
        <v>-372</v>
      </c>
      <c r="D313" s="27"/>
      <c r="E313" s="25"/>
    </row>
    <row r="314" spans="1:11" ht="15.5" thickTop="1" thickBot="1" x14ac:dyDescent="0.4">
      <c r="A314" s="29">
        <v>2</v>
      </c>
      <c r="B314" s="30" t="s">
        <v>23</v>
      </c>
      <c r="C314" s="31" t="s">
        <v>24</v>
      </c>
      <c r="D314" s="32">
        <v>90</v>
      </c>
      <c r="E314" s="33"/>
    </row>
    <row r="315" spans="1:11" ht="15.5" thickTop="1" thickBot="1" x14ac:dyDescent="0.4">
      <c r="A315" s="34"/>
      <c r="B315" s="34"/>
      <c r="C315" s="34"/>
      <c r="D315" s="35" t="s">
        <v>25</v>
      </c>
      <c r="E315" s="17">
        <f>E308+E314</f>
        <v>800000</v>
      </c>
    </row>
    <row r="316" spans="1:11" ht="18" thickTop="1" thickBot="1" x14ac:dyDescent="0.45">
      <c r="A316" s="124" t="s">
        <v>26</v>
      </c>
      <c r="B316" s="125"/>
      <c r="C316" s="34"/>
      <c r="D316" s="35" t="s">
        <v>27</v>
      </c>
      <c r="E316" s="38">
        <v>0</v>
      </c>
    </row>
    <row r="317" spans="1:11" ht="17.5" thickBot="1" x14ac:dyDescent="0.45">
      <c r="A317" s="126" t="s">
        <v>28</v>
      </c>
      <c r="B317" s="127"/>
      <c r="C317" s="41"/>
      <c r="D317" s="35" t="s">
        <v>29</v>
      </c>
      <c r="E317" s="42">
        <f>(E315+E316)</f>
        <v>800000</v>
      </c>
    </row>
    <row r="318" spans="1:11" ht="15" x14ac:dyDescent="0.4">
      <c r="A318" s="126" t="s">
        <v>30</v>
      </c>
      <c r="B318" s="127"/>
      <c r="C318" s="3"/>
      <c r="D318" s="3"/>
      <c r="E318" s="15"/>
    </row>
    <row r="319" spans="1:11" ht="15" x14ac:dyDescent="0.4">
      <c r="A319" s="128" t="s">
        <v>31</v>
      </c>
      <c r="B319" s="129"/>
      <c r="C319" s="3"/>
      <c r="D319" s="3"/>
      <c r="E319" s="15"/>
    </row>
    <row r="320" spans="1:11" ht="15.5" thickBot="1" x14ac:dyDescent="0.45">
      <c r="A320" s="130" t="s">
        <v>32</v>
      </c>
      <c r="B320" s="131"/>
      <c r="C320" s="3"/>
      <c r="D320" s="3"/>
      <c r="E320" s="47"/>
    </row>
    <row r="321" spans="1:8" ht="15" thickTop="1" x14ac:dyDescent="0.35">
      <c r="A321" s="48"/>
      <c r="B321" s="49"/>
      <c r="C321" s="3"/>
      <c r="D321" s="3"/>
      <c r="E321" s="47"/>
    </row>
    <row r="322" spans="1:8" x14ac:dyDescent="0.35">
      <c r="A322" s="211" t="s">
        <v>33</v>
      </c>
      <c r="B322" s="211"/>
      <c r="C322" s="211" t="s">
        <v>1</v>
      </c>
      <c r="D322" s="211"/>
      <c r="E322" s="211"/>
    </row>
    <row r="324" spans="1:8" x14ac:dyDescent="0.35">
      <c r="H324" t="s">
        <v>73</v>
      </c>
    </row>
    <row r="326" spans="1:8" x14ac:dyDescent="0.35">
      <c r="A326" s="212" t="s">
        <v>34</v>
      </c>
      <c r="B326" s="212"/>
      <c r="C326" s="277" t="s">
        <v>106</v>
      </c>
      <c r="D326" s="277"/>
      <c r="E326" s="277"/>
    </row>
    <row r="327" spans="1:8" x14ac:dyDescent="0.35">
      <c r="D327" s="51" t="s">
        <v>36</v>
      </c>
      <c r="E327" s="51"/>
    </row>
    <row r="328" spans="1:8" ht="15" thickBot="1" x14ac:dyDescent="0.4"/>
    <row r="329" spans="1:8" ht="15.5" thickTop="1" thickBot="1" x14ac:dyDescent="0.4">
      <c r="A329" s="266" t="s">
        <v>1</v>
      </c>
      <c r="B329" s="267"/>
      <c r="C329" s="3"/>
      <c r="D329" s="110" t="s">
        <v>0</v>
      </c>
      <c r="E329" s="111" t="s">
        <v>122</v>
      </c>
    </row>
    <row r="330" spans="1:8" ht="15.5" thickTop="1" thickBot="1" x14ac:dyDescent="0.4">
      <c r="A330" s="254"/>
      <c r="B330" s="255"/>
      <c r="C330" s="3"/>
      <c r="D330" s="110" t="s">
        <v>2</v>
      </c>
      <c r="E330" s="112">
        <v>45755</v>
      </c>
    </row>
    <row r="331" spans="1:8" ht="15.5" thickTop="1" thickBot="1" x14ac:dyDescent="0.4">
      <c r="A331" s="256" t="s">
        <v>104</v>
      </c>
      <c r="B331" s="257"/>
      <c r="C331" s="3"/>
      <c r="D331" s="269" t="s">
        <v>4</v>
      </c>
      <c r="E331" s="269"/>
    </row>
    <row r="332" spans="1:8" ht="15.5" thickTop="1" thickBot="1" x14ac:dyDescent="0.4">
      <c r="A332" s="256" t="s">
        <v>77</v>
      </c>
      <c r="B332" s="257"/>
      <c r="C332" s="3"/>
      <c r="D332" s="272" t="s">
        <v>6</v>
      </c>
      <c r="E332" s="273"/>
    </row>
    <row r="333" spans="1:8" ht="15.5" thickTop="1" thickBot="1" x14ac:dyDescent="0.4">
      <c r="A333" s="256" t="s">
        <v>78</v>
      </c>
      <c r="B333" s="257"/>
      <c r="C333" s="3"/>
      <c r="D333" s="274" t="s">
        <v>8</v>
      </c>
      <c r="E333" s="274"/>
    </row>
    <row r="334" spans="1:8" ht="16.5" customHeight="1" thickTop="1" thickBot="1" x14ac:dyDescent="0.4">
      <c r="A334" s="243" t="s">
        <v>11</v>
      </c>
      <c r="B334" s="244"/>
      <c r="D334" s="275" t="s">
        <v>10</v>
      </c>
      <c r="E334" s="276"/>
    </row>
    <row r="335" spans="1:8" ht="15.5" thickTop="1" thickBot="1" x14ac:dyDescent="0.4">
      <c r="A335" s="219" t="s">
        <v>79</v>
      </c>
      <c r="B335" s="220"/>
      <c r="C335" s="3"/>
      <c r="D335" s="278" t="s">
        <v>12</v>
      </c>
      <c r="E335" s="278"/>
    </row>
    <row r="336" spans="1:8" ht="15" thickTop="1" x14ac:dyDescent="0.35">
      <c r="A336" s="13"/>
      <c r="B336" s="13"/>
      <c r="C336" s="3"/>
      <c r="D336" s="14"/>
      <c r="E336" s="14"/>
    </row>
    <row r="337" spans="1:11" ht="15" thickBot="1" x14ac:dyDescent="0.4">
      <c r="A337" s="224" t="s">
        <v>124</v>
      </c>
      <c r="B337" s="224"/>
      <c r="C337" s="3"/>
      <c r="D337" s="3"/>
      <c r="E337" s="15"/>
    </row>
    <row r="338" spans="1:11" ht="15.5" thickTop="1" thickBot="1" x14ac:dyDescent="0.4">
      <c r="A338" s="16" t="s">
        <v>14</v>
      </c>
      <c r="B338" s="225" t="s">
        <v>15</v>
      </c>
      <c r="C338" s="226"/>
      <c r="D338" s="226"/>
      <c r="E338" s="17" t="s">
        <v>16</v>
      </c>
    </row>
    <row r="339" spans="1:11" ht="15" thickTop="1" x14ac:dyDescent="0.35">
      <c r="A339" s="270">
        <v>1</v>
      </c>
      <c r="B339" s="19" t="s">
        <v>17</v>
      </c>
      <c r="C339" s="20"/>
      <c r="D339" s="20"/>
      <c r="E339" s="21">
        <v>800000</v>
      </c>
    </row>
    <row r="340" spans="1:11" x14ac:dyDescent="0.35">
      <c r="A340" s="271"/>
      <c r="B340" s="22" t="s">
        <v>18</v>
      </c>
      <c r="C340" s="23">
        <f>+'Meterading 2025'!B45</f>
        <v>90753</v>
      </c>
      <c r="D340" s="24"/>
      <c r="E340" s="25"/>
    </row>
    <row r="341" spans="1:11" ht="15" x14ac:dyDescent="0.4">
      <c r="A341" s="271"/>
      <c r="B341" s="22" t="s">
        <v>19</v>
      </c>
      <c r="C341" s="26">
        <f>+'Meterading 2025'!C45</f>
        <v>92685</v>
      </c>
      <c r="D341" s="27" t="s">
        <v>20</v>
      </c>
      <c r="E341" s="25"/>
      <c r="K341" t="s">
        <v>91</v>
      </c>
    </row>
    <row r="342" spans="1:11" x14ac:dyDescent="0.35">
      <c r="A342" s="271"/>
      <c r="B342" s="22" t="s">
        <v>21</v>
      </c>
      <c r="C342" s="23">
        <f>C341-C340</f>
        <v>1932</v>
      </c>
      <c r="D342" s="27"/>
      <c r="E342" s="25"/>
    </row>
    <row r="343" spans="1:11" ht="15" x14ac:dyDescent="0.4">
      <c r="A343" s="271"/>
      <c r="B343" s="22" t="s">
        <v>22</v>
      </c>
      <c r="C343" s="26">
        <v>2000</v>
      </c>
      <c r="D343" s="27" t="s">
        <v>20</v>
      </c>
      <c r="E343" s="25"/>
    </row>
    <row r="344" spans="1:11" ht="15" thickBot="1" x14ac:dyDescent="0.4">
      <c r="A344" s="28"/>
      <c r="B344" s="22" t="s">
        <v>21</v>
      </c>
      <c r="C344" s="23">
        <f>+C342-C343</f>
        <v>-68</v>
      </c>
      <c r="D344" s="27"/>
      <c r="E344" s="25"/>
    </row>
    <row r="345" spans="1:11" ht="15.5" thickTop="1" thickBot="1" x14ac:dyDescent="0.4">
      <c r="A345" s="29">
        <v>2</v>
      </c>
      <c r="B345" s="30" t="s">
        <v>23</v>
      </c>
      <c r="C345" s="31" t="s">
        <v>24</v>
      </c>
      <c r="D345" s="32">
        <v>90</v>
      </c>
      <c r="E345" s="33"/>
    </row>
    <row r="346" spans="1:11" ht="15.5" thickTop="1" thickBot="1" x14ac:dyDescent="0.4">
      <c r="A346" s="34"/>
      <c r="B346" s="34"/>
      <c r="C346" s="34"/>
      <c r="D346" s="35" t="s">
        <v>25</v>
      </c>
      <c r="E346" s="17">
        <f>E339+E345</f>
        <v>800000</v>
      </c>
    </row>
    <row r="347" spans="1:11" ht="18" thickTop="1" thickBot="1" x14ac:dyDescent="0.45">
      <c r="A347" s="124" t="s">
        <v>26</v>
      </c>
      <c r="B347" s="125"/>
      <c r="C347" s="34"/>
      <c r="D347" s="35" t="s">
        <v>27</v>
      </c>
      <c r="E347" s="38">
        <v>0</v>
      </c>
    </row>
    <row r="348" spans="1:11" ht="17.5" thickBot="1" x14ac:dyDescent="0.45">
      <c r="A348" s="126" t="s">
        <v>28</v>
      </c>
      <c r="B348" s="127"/>
      <c r="C348" s="41"/>
      <c r="D348" s="35" t="s">
        <v>29</v>
      </c>
      <c r="E348" s="42">
        <f>(E346+E347)</f>
        <v>800000</v>
      </c>
    </row>
    <row r="349" spans="1:11" ht="15" x14ac:dyDescent="0.4">
      <c r="A349" s="126" t="s">
        <v>30</v>
      </c>
      <c r="B349" s="127"/>
      <c r="C349" s="3"/>
      <c r="D349" s="3"/>
      <c r="E349" s="15"/>
    </row>
    <row r="350" spans="1:11" ht="15" x14ac:dyDescent="0.4">
      <c r="A350" s="128" t="s">
        <v>31</v>
      </c>
      <c r="B350" s="129"/>
      <c r="C350" s="3"/>
      <c r="D350" s="3"/>
      <c r="E350" s="15"/>
    </row>
    <row r="351" spans="1:11" ht="15.5" thickBot="1" x14ac:dyDescent="0.45">
      <c r="A351" s="130" t="s">
        <v>32</v>
      </c>
      <c r="B351" s="131"/>
      <c r="C351" s="3"/>
      <c r="D351" s="3"/>
      <c r="E351" s="47"/>
    </row>
    <row r="352" spans="1:11" ht="15" thickTop="1" x14ac:dyDescent="0.35">
      <c r="A352" s="48"/>
      <c r="B352" s="49"/>
      <c r="C352" s="3"/>
      <c r="D352" s="3"/>
      <c r="E352" s="47"/>
    </row>
    <row r="353" spans="1:8" x14ac:dyDescent="0.35">
      <c r="A353" s="211" t="s">
        <v>33</v>
      </c>
      <c r="B353" s="211"/>
      <c r="C353" s="211" t="s">
        <v>1</v>
      </c>
      <c r="D353" s="211"/>
      <c r="E353" s="211"/>
    </row>
    <row r="355" spans="1:8" x14ac:dyDescent="0.35">
      <c r="H355" t="s">
        <v>73</v>
      </c>
    </row>
    <row r="357" spans="1:8" x14ac:dyDescent="0.35">
      <c r="A357" s="212" t="s">
        <v>34</v>
      </c>
      <c r="B357" s="212"/>
      <c r="C357" s="277" t="s">
        <v>106</v>
      </c>
      <c r="D357" s="277"/>
      <c r="E357" s="277"/>
    </row>
    <row r="358" spans="1:8" x14ac:dyDescent="0.35">
      <c r="D358" s="51" t="s">
        <v>36</v>
      </c>
      <c r="E358" s="51"/>
    </row>
    <row r="359" spans="1:8" ht="15" thickBot="1" x14ac:dyDescent="0.4"/>
    <row r="360" spans="1:8" ht="15.5" thickTop="1" thickBot="1" x14ac:dyDescent="0.4">
      <c r="A360" s="266" t="s">
        <v>1</v>
      </c>
      <c r="B360" s="267"/>
      <c r="C360" s="3"/>
      <c r="D360" s="110" t="s">
        <v>0</v>
      </c>
      <c r="E360" s="111" t="s">
        <v>115</v>
      </c>
    </row>
    <row r="361" spans="1:8" ht="15.5" thickTop="1" thickBot="1" x14ac:dyDescent="0.4">
      <c r="A361" s="254"/>
      <c r="B361" s="255"/>
      <c r="C361" s="3"/>
      <c r="D361" s="110" t="s">
        <v>2</v>
      </c>
      <c r="E361" s="112">
        <v>45719</v>
      </c>
    </row>
    <row r="362" spans="1:8" ht="15.5" thickTop="1" thickBot="1" x14ac:dyDescent="0.4">
      <c r="A362" s="256" t="s">
        <v>104</v>
      </c>
      <c r="B362" s="257"/>
      <c r="C362" s="3"/>
      <c r="D362" s="269" t="s">
        <v>4</v>
      </c>
      <c r="E362" s="269"/>
    </row>
    <row r="363" spans="1:8" ht="15.5" thickTop="1" thickBot="1" x14ac:dyDescent="0.4">
      <c r="A363" s="256" t="s">
        <v>77</v>
      </c>
      <c r="B363" s="257"/>
      <c r="C363" s="3"/>
      <c r="D363" s="272" t="s">
        <v>6</v>
      </c>
      <c r="E363" s="273"/>
    </row>
    <row r="364" spans="1:8" ht="15.5" thickTop="1" thickBot="1" x14ac:dyDescent="0.4">
      <c r="A364" s="256" t="s">
        <v>78</v>
      </c>
      <c r="B364" s="257"/>
      <c r="C364" s="3"/>
      <c r="D364" s="274" t="s">
        <v>8</v>
      </c>
      <c r="E364" s="274"/>
    </row>
    <row r="365" spans="1:8" ht="16.5" customHeight="1" thickTop="1" thickBot="1" x14ac:dyDescent="0.4">
      <c r="A365" s="243" t="s">
        <v>11</v>
      </c>
      <c r="B365" s="244"/>
      <c r="D365" s="275" t="s">
        <v>10</v>
      </c>
      <c r="E365" s="276"/>
    </row>
    <row r="366" spans="1:8" ht="15.5" thickTop="1" thickBot="1" x14ac:dyDescent="0.4">
      <c r="A366" s="219" t="s">
        <v>79</v>
      </c>
      <c r="B366" s="220"/>
      <c r="C366" s="3"/>
      <c r="D366" s="278" t="s">
        <v>12</v>
      </c>
      <c r="E366" s="278"/>
    </row>
    <row r="367" spans="1:8" ht="15" thickTop="1" x14ac:dyDescent="0.35">
      <c r="A367" s="13"/>
      <c r="B367" s="13"/>
      <c r="C367" s="3"/>
      <c r="D367" s="14"/>
      <c r="E367" s="14"/>
    </row>
    <row r="368" spans="1:8" ht="15" thickBot="1" x14ac:dyDescent="0.4">
      <c r="A368" s="224" t="s">
        <v>111</v>
      </c>
      <c r="B368" s="224"/>
      <c r="C368" s="3"/>
      <c r="D368" s="3"/>
      <c r="E368" s="15"/>
    </row>
    <row r="369" spans="1:11" ht="15.5" thickTop="1" thickBot="1" x14ac:dyDescent="0.4">
      <c r="A369" s="16" t="s">
        <v>14</v>
      </c>
      <c r="B369" s="225" t="s">
        <v>15</v>
      </c>
      <c r="C369" s="226"/>
      <c r="D369" s="226"/>
      <c r="E369" s="17" t="s">
        <v>16</v>
      </c>
    </row>
    <row r="370" spans="1:11" ht="15" thickTop="1" x14ac:dyDescent="0.35">
      <c r="A370" s="270">
        <v>1</v>
      </c>
      <c r="B370" s="19" t="s">
        <v>17</v>
      </c>
      <c r="C370" s="20"/>
      <c r="D370" s="20"/>
      <c r="E370" s="21">
        <v>800000</v>
      </c>
    </row>
    <row r="371" spans="1:11" x14ac:dyDescent="0.35">
      <c r="A371" s="271"/>
      <c r="B371" s="22" t="s">
        <v>18</v>
      </c>
      <c r="C371" s="23">
        <v>88977</v>
      </c>
      <c r="D371" s="24"/>
      <c r="E371" s="25"/>
    </row>
    <row r="372" spans="1:11" ht="15" x14ac:dyDescent="0.4">
      <c r="A372" s="271"/>
      <c r="B372" s="22" t="s">
        <v>19</v>
      </c>
      <c r="C372" s="26">
        <v>90753</v>
      </c>
      <c r="D372" s="27" t="s">
        <v>20</v>
      </c>
      <c r="E372" s="25"/>
      <c r="K372" t="s">
        <v>91</v>
      </c>
    </row>
    <row r="373" spans="1:11" x14ac:dyDescent="0.35">
      <c r="A373" s="271"/>
      <c r="B373" s="22" t="s">
        <v>21</v>
      </c>
      <c r="C373" s="23">
        <f>C372-C371</f>
        <v>1776</v>
      </c>
      <c r="D373" s="27"/>
      <c r="E373" s="25"/>
    </row>
    <row r="374" spans="1:11" ht="15" x14ac:dyDescent="0.4">
      <c r="A374" s="271"/>
      <c r="B374" s="22" t="s">
        <v>22</v>
      </c>
      <c r="C374" s="26">
        <v>2000</v>
      </c>
      <c r="D374" s="27" t="s">
        <v>20</v>
      </c>
      <c r="E374" s="25"/>
    </row>
    <row r="375" spans="1:11" ht="15" thickBot="1" x14ac:dyDescent="0.4">
      <c r="A375" s="28"/>
      <c r="B375" s="22" t="s">
        <v>21</v>
      </c>
      <c r="C375" s="23">
        <f>+C373-C374</f>
        <v>-224</v>
      </c>
      <c r="D375" s="27"/>
      <c r="E375" s="25"/>
    </row>
    <row r="376" spans="1:11" ht="15.5" thickTop="1" thickBot="1" x14ac:dyDescent="0.4">
      <c r="A376" s="29">
        <v>2</v>
      </c>
      <c r="B376" s="30" t="s">
        <v>23</v>
      </c>
      <c r="C376" s="31" t="s">
        <v>24</v>
      </c>
      <c r="D376" s="32">
        <v>90</v>
      </c>
      <c r="E376" s="33"/>
    </row>
    <row r="377" spans="1:11" ht="15.5" thickTop="1" thickBot="1" x14ac:dyDescent="0.4">
      <c r="A377" s="34"/>
      <c r="B377" s="34"/>
      <c r="C377" s="34"/>
      <c r="D377" s="35" t="s">
        <v>25</v>
      </c>
      <c r="E377" s="17">
        <f>E370+E376</f>
        <v>800000</v>
      </c>
    </row>
    <row r="378" spans="1:11" ht="18" thickTop="1" thickBot="1" x14ac:dyDescent="0.45">
      <c r="A378" s="36" t="s">
        <v>26</v>
      </c>
      <c r="B378" s="37"/>
      <c r="C378" s="34"/>
      <c r="D378" s="35" t="s">
        <v>27</v>
      </c>
      <c r="E378" s="38">
        <v>0</v>
      </c>
    </row>
    <row r="379" spans="1:11" ht="17.5" thickBot="1" x14ac:dyDescent="0.45">
      <c r="A379" s="39" t="s">
        <v>28</v>
      </c>
      <c r="B379" s="40"/>
      <c r="C379" s="41"/>
      <c r="D379" s="35" t="s">
        <v>29</v>
      </c>
      <c r="E379" s="42">
        <f>(E377+E378)</f>
        <v>800000</v>
      </c>
    </row>
    <row r="380" spans="1:11" x14ac:dyDescent="0.35">
      <c r="A380" s="39" t="s">
        <v>30</v>
      </c>
      <c r="B380" s="40"/>
      <c r="C380" s="3"/>
      <c r="D380" s="3"/>
      <c r="E380" s="15"/>
    </row>
    <row r="381" spans="1:11" x14ac:dyDescent="0.35">
      <c r="A381" s="43" t="s">
        <v>31</v>
      </c>
      <c r="B381" s="44"/>
      <c r="C381" s="3"/>
      <c r="D381" s="3"/>
      <c r="E381" s="15"/>
    </row>
    <row r="382" spans="1:11" ht="15" thickBot="1" x14ac:dyDescent="0.4">
      <c r="A382" s="45" t="s">
        <v>32</v>
      </c>
      <c r="B382" s="46"/>
      <c r="C382" s="3"/>
      <c r="D382" s="3"/>
      <c r="E382" s="47"/>
    </row>
    <row r="383" spans="1:11" ht="15" thickTop="1" x14ac:dyDescent="0.35">
      <c r="A383" s="48"/>
      <c r="B383" s="49"/>
      <c r="C383" s="3"/>
      <c r="D383" s="3"/>
      <c r="E383" s="47"/>
    </row>
    <row r="384" spans="1:11" x14ac:dyDescent="0.35">
      <c r="A384" s="211" t="s">
        <v>33</v>
      </c>
      <c r="B384" s="211"/>
      <c r="C384" s="211" t="s">
        <v>1</v>
      </c>
      <c r="D384" s="211"/>
      <c r="E384" s="211"/>
    </row>
    <row r="386" spans="1:19" x14ac:dyDescent="0.35">
      <c r="H386" t="s">
        <v>73</v>
      </c>
    </row>
    <row r="388" spans="1:19" x14ac:dyDescent="0.35">
      <c r="A388" s="212" t="s">
        <v>34</v>
      </c>
      <c r="B388" s="212"/>
      <c r="C388" s="277" t="s">
        <v>106</v>
      </c>
      <c r="D388" s="277"/>
      <c r="E388" s="277"/>
    </row>
    <row r="389" spans="1:19" x14ac:dyDescent="0.35">
      <c r="D389" s="51" t="s">
        <v>36</v>
      </c>
      <c r="E389" s="51"/>
    </row>
    <row r="390" spans="1:19" ht="16" x14ac:dyDescent="0.45">
      <c r="A390" s="94"/>
      <c r="B390" s="94"/>
      <c r="C390" s="94"/>
      <c r="D390" s="94"/>
      <c r="E390" s="94"/>
    </row>
    <row r="391" spans="1:19" ht="16.5" thickBot="1" x14ac:dyDescent="0.5">
      <c r="A391" s="94"/>
      <c r="B391" s="94"/>
      <c r="C391" s="94"/>
      <c r="D391" s="94"/>
      <c r="E391" s="94"/>
    </row>
    <row r="392" spans="1:19" ht="18" customHeight="1" thickTop="1" thickBot="1" x14ac:dyDescent="0.4">
      <c r="A392" s="266" t="s">
        <v>1</v>
      </c>
      <c r="B392" s="267"/>
      <c r="C392" s="3"/>
      <c r="D392" s="110" t="s">
        <v>0</v>
      </c>
      <c r="E392" s="111" t="s">
        <v>109</v>
      </c>
    </row>
    <row r="393" spans="1:19" ht="18" customHeight="1" thickTop="1" thickBot="1" x14ac:dyDescent="0.4">
      <c r="A393" s="254"/>
      <c r="B393" s="255"/>
      <c r="C393" s="3"/>
      <c r="D393" s="110" t="s">
        <v>2</v>
      </c>
      <c r="E393" s="112">
        <v>45691</v>
      </c>
    </row>
    <row r="394" spans="1:19" ht="15.5" thickTop="1" thickBot="1" x14ac:dyDescent="0.4">
      <c r="A394" s="256" t="s">
        <v>104</v>
      </c>
      <c r="B394" s="257"/>
      <c r="C394" s="3"/>
      <c r="D394" s="269" t="s">
        <v>4</v>
      </c>
      <c r="E394" s="269"/>
    </row>
    <row r="395" spans="1:19" ht="15.5" thickTop="1" thickBot="1" x14ac:dyDescent="0.4">
      <c r="A395" s="256" t="s">
        <v>77</v>
      </c>
      <c r="B395" s="257"/>
      <c r="C395" s="3"/>
      <c r="D395" s="272" t="s">
        <v>6</v>
      </c>
      <c r="E395" s="273"/>
      <c r="N395" s="107"/>
      <c r="S395"/>
    </row>
    <row r="396" spans="1:19" ht="15.5" thickTop="1" thickBot="1" x14ac:dyDescent="0.4">
      <c r="A396" s="256" t="s">
        <v>78</v>
      </c>
      <c r="B396" s="257"/>
      <c r="C396" s="3"/>
      <c r="D396" s="274" t="s">
        <v>8</v>
      </c>
      <c r="E396" s="274"/>
      <c r="N396" s="107"/>
      <c r="S396"/>
    </row>
    <row r="397" spans="1:19" ht="15.5" thickTop="1" thickBot="1" x14ac:dyDescent="0.4">
      <c r="A397" s="248" t="s">
        <v>79</v>
      </c>
      <c r="B397" s="249"/>
      <c r="D397" s="275" t="s">
        <v>10</v>
      </c>
      <c r="E397" s="276"/>
      <c r="N397" s="107"/>
      <c r="S397"/>
    </row>
    <row r="398" spans="1:19" ht="17" thickTop="1" thickBot="1" x14ac:dyDescent="0.5">
      <c r="A398" s="262"/>
      <c r="B398" s="263"/>
      <c r="C398" s="3"/>
      <c r="D398" s="278" t="s">
        <v>12</v>
      </c>
      <c r="E398" s="278"/>
      <c r="N398" s="107"/>
      <c r="S398"/>
    </row>
    <row r="399" spans="1:19" ht="15" thickTop="1" x14ac:dyDescent="0.35">
      <c r="A399" s="13"/>
      <c r="B399" s="13"/>
      <c r="C399" s="3"/>
      <c r="D399" s="14"/>
      <c r="E399" s="14"/>
      <c r="N399" s="107"/>
      <c r="S399"/>
    </row>
    <row r="400" spans="1:19" ht="15" thickBot="1" x14ac:dyDescent="0.4">
      <c r="A400" s="224" t="s">
        <v>105</v>
      </c>
      <c r="B400" s="224"/>
      <c r="C400" s="3"/>
      <c r="D400" s="3"/>
      <c r="E400" s="15"/>
      <c r="N400" s="107"/>
      <c r="S400"/>
    </row>
    <row r="401" spans="1:19" ht="15.5" thickTop="1" thickBot="1" x14ac:dyDescent="0.4">
      <c r="A401" s="16" t="s">
        <v>14</v>
      </c>
      <c r="B401" s="225" t="s">
        <v>15</v>
      </c>
      <c r="C401" s="226"/>
      <c r="D401" s="226"/>
      <c r="E401" s="17" t="s">
        <v>16</v>
      </c>
      <c r="N401" s="107"/>
      <c r="S401"/>
    </row>
    <row r="402" spans="1:19" ht="15" thickTop="1" x14ac:dyDescent="0.35">
      <c r="A402" s="270">
        <v>1</v>
      </c>
      <c r="B402" s="19" t="s">
        <v>17</v>
      </c>
      <c r="C402" s="20"/>
      <c r="D402" s="20"/>
      <c r="E402" s="21">
        <v>800000</v>
      </c>
      <c r="N402" s="107"/>
      <c r="S402"/>
    </row>
    <row r="403" spans="1:19" x14ac:dyDescent="0.35">
      <c r="A403" s="271"/>
      <c r="B403" s="22" t="s">
        <v>18</v>
      </c>
      <c r="C403" s="23">
        <v>88977</v>
      </c>
      <c r="D403" s="24"/>
      <c r="E403" s="25"/>
      <c r="N403" s="107"/>
      <c r="S403"/>
    </row>
    <row r="404" spans="1:19" ht="15" x14ac:dyDescent="0.4">
      <c r="A404" s="271"/>
      <c r="B404" s="22" t="s">
        <v>19</v>
      </c>
      <c r="C404" s="26">
        <v>89767</v>
      </c>
      <c r="D404" s="27" t="s">
        <v>20</v>
      </c>
      <c r="E404" s="25"/>
      <c r="N404" s="107"/>
      <c r="S404"/>
    </row>
    <row r="405" spans="1:19" x14ac:dyDescent="0.35">
      <c r="A405" s="271"/>
      <c r="B405" s="22" t="s">
        <v>21</v>
      </c>
      <c r="C405" s="23">
        <f>C404-C403</f>
        <v>790</v>
      </c>
      <c r="D405" s="27"/>
      <c r="E405" s="25"/>
      <c r="N405" s="107"/>
      <c r="S405"/>
    </row>
    <row r="406" spans="1:19" ht="15" x14ac:dyDescent="0.4">
      <c r="A406" s="271"/>
      <c r="B406" s="22" t="s">
        <v>22</v>
      </c>
      <c r="C406" s="26">
        <v>2000</v>
      </c>
      <c r="D406" s="27" t="s">
        <v>20</v>
      </c>
      <c r="E406" s="25"/>
      <c r="N406" s="107"/>
      <c r="S406"/>
    </row>
    <row r="407" spans="1:19" ht="15" thickBot="1" x14ac:dyDescent="0.4">
      <c r="A407" s="28"/>
      <c r="B407" s="22" t="s">
        <v>21</v>
      </c>
      <c r="C407" s="23">
        <f>+C405-C406</f>
        <v>-1210</v>
      </c>
      <c r="D407" s="27"/>
      <c r="E407" s="25"/>
      <c r="N407" s="107"/>
      <c r="S407"/>
    </row>
    <row r="408" spans="1:19" ht="15.5" thickTop="1" thickBot="1" x14ac:dyDescent="0.4">
      <c r="A408" s="29">
        <v>2</v>
      </c>
      <c r="B408" s="30" t="s">
        <v>23</v>
      </c>
      <c r="C408" s="31" t="s">
        <v>24</v>
      </c>
      <c r="D408" s="32">
        <v>90</v>
      </c>
      <c r="E408" s="33"/>
      <c r="N408" s="107"/>
      <c r="S408"/>
    </row>
    <row r="409" spans="1:19" ht="15.5" thickTop="1" thickBot="1" x14ac:dyDescent="0.4">
      <c r="A409" s="34"/>
      <c r="B409" s="34"/>
      <c r="C409" s="34"/>
      <c r="D409" s="35" t="s">
        <v>25</v>
      </c>
      <c r="E409" s="17">
        <f>E402+E408</f>
        <v>800000</v>
      </c>
      <c r="N409" s="107"/>
      <c r="S409"/>
    </row>
    <row r="410" spans="1:19" ht="18" thickTop="1" thickBot="1" x14ac:dyDescent="0.45">
      <c r="A410" s="36" t="s">
        <v>26</v>
      </c>
      <c r="B410" s="37"/>
      <c r="C410" s="34"/>
      <c r="D410" s="35" t="s">
        <v>27</v>
      </c>
      <c r="E410" s="38">
        <v>0</v>
      </c>
      <c r="N410" s="107"/>
      <c r="S410"/>
    </row>
    <row r="411" spans="1:19" ht="17.5" thickBot="1" x14ac:dyDescent="0.45">
      <c r="A411" s="39" t="s">
        <v>28</v>
      </c>
      <c r="B411" s="40"/>
      <c r="C411" s="41"/>
      <c r="D411" s="35" t="s">
        <v>29</v>
      </c>
      <c r="E411" s="42">
        <f>(E409+E410)</f>
        <v>800000</v>
      </c>
      <c r="N411" s="107"/>
      <c r="S411"/>
    </row>
    <row r="412" spans="1:19" x14ac:dyDescent="0.35">
      <c r="A412" s="39" t="s">
        <v>30</v>
      </c>
      <c r="B412" s="40"/>
      <c r="C412" s="3"/>
      <c r="D412" s="3"/>
      <c r="E412" s="15"/>
      <c r="N412" s="107"/>
      <c r="S412"/>
    </row>
    <row r="413" spans="1:19" x14ac:dyDescent="0.35">
      <c r="A413" s="43" t="s">
        <v>31</v>
      </c>
      <c r="B413" s="44"/>
      <c r="C413" s="3"/>
      <c r="D413" s="3"/>
      <c r="E413" s="15"/>
      <c r="N413" s="107"/>
      <c r="S413"/>
    </row>
    <row r="414" spans="1:19" ht="15" thickBot="1" x14ac:dyDescent="0.4">
      <c r="A414" s="45" t="s">
        <v>32</v>
      </c>
      <c r="B414" s="46"/>
      <c r="C414" s="3"/>
      <c r="D414" s="3"/>
      <c r="E414" s="47"/>
      <c r="N414" s="107"/>
      <c r="S414"/>
    </row>
    <row r="415" spans="1:19" ht="15" thickTop="1" x14ac:dyDescent="0.35">
      <c r="A415" s="48"/>
      <c r="B415" s="49"/>
      <c r="C415" s="3"/>
      <c r="D415" s="3"/>
      <c r="E415" s="47"/>
      <c r="N415" s="107"/>
      <c r="S415"/>
    </row>
    <row r="416" spans="1:19" x14ac:dyDescent="0.35">
      <c r="A416" s="211" t="s">
        <v>33</v>
      </c>
      <c r="B416" s="211"/>
      <c r="C416" s="211" t="s">
        <v>1</v>
      </c>
      <c r="D416" s="211"/>
      <c r="E416" s="211"/>
      <c r="N416" s="107"/>
      <c r="S416"/>
    </row>
    <row r="417" spans="1:19" x14ac:dyDescent="0.35">
      <c r="N417" s="107"/>
      <c r="S417"/>
    </row>
    <row r="418" spans="1:19" x14ac:dyDescent="0.35">
      <c r="N418" s="107"/>
      <c r="S418"/>
    </row>
    <row r="419" spans="1:19" x14ac:dyDescent="0.35">
      <c r="N419" s="107"/>
      <c r="S419"/>
    </row>
    <row r="420" spans="1:19" x14ac:dyDescent="0.35">
      <c r="A420" s="212" t="s">
        <v>34</v>
      </c>
      <c r="B420" s="212"/>
      <c r="C420" s="277" t="s">
        <v>106</v>
      </c>
      <c r="D420" s="277"/>
      <c r="E420" s="277"/>
      <c r="N420" s="107"/>
      <c r="S420"/>
    </row>
    <row r="421" spans="1:19" x14ac:dyDescent="0.35">
      <c r="D421" s="51" t="s">
        <v>36</v>
      </c>
      <c r="E421" s="51"/>
      <c r="N421" s="107"/>
      <c r="S421"/>
    </row>
    <row r="422" spans="1:19" x14ac:dyDescent="0.35">
      <c r="E422"/>
      <c r="N422" s="107"/>
      <c r="S422"/>
    </row>
    <row r="423" spans="1:19" x14ac:dyDescent="0.35">
      <c r="E423"/>
      <c r="N423" s="107"/>
      <c r="S423"/>
    </row>
    <row r="424" spans="1:19" x14ac:dyDescent="0.35">
      <c r="E424"/>
      <c r="N424" s="107"/>
      <c r="S424"/>
    </row>
    <row r="425" spans="1:19" x14ac:dyDescent="0.35">
      <c r="E425"/>
      <c r="N425" s="107"/>
      <c r="S425"/>
    </row>
    <row r="426" spans="1:19" ht="16" x14ac:dyDescent="0.45">
      <c r="A426" s="94"/>
      <c r="B426" s="94"/>
      <c r="C426" s="94"/>
      <c r="D426" s="94"/>
      <c r="E426" s="94"/>
    </row>
    <row r="427" spans="1:19" ht="16" x14ac:dyDescent="0.45">
      <c r="A427" s="94"/>
      <c r="B427" s="94"/>
      <c r="C427" s="94"/>
      <c r="D427" s="94"/>
      <c r="E427" s="94"/>
    </row>
    <row r="428" spans="1:19" ht="16" x14ac:dyDescent="0.45">
      <c r="A428" s="94"/>
      <c r="B428" s="94"/>
      <c r="C428" s="94"/>
      <c r="D428" s="94"/>
      <c r="E428" s="94"/>
    </row>
    <row r="429" spans="1:19" ht="16" x14ac:dyDescent="0.45">
      <c r="A429" s="94"/>
      <c r="B429" s="94"/>
      <c r="C429" s="94"/>
      <c r="D429" s="94"/>
      <c r="E429" s="94"/>
    </row>
    <row r="430" spans="1:19" ht="16" x14ac:dyDescent="0.45">
      <c r="A430" s="94"/>
      <c r="B430" s="94"/>
      <c r="C430" s="94"/>
      <c r="D430" s="94"/>
      <c r="E430" s="94"/>
    </row>
    <row r="431" spans="1:19" ht="16" x14ac:dyDescent="0.45">
      <c r="A431" s="94"/>
      <c r="B431" s="94"/>
      <c r="C431" s="94"/>
      <c r="D431" s="94"/>
      <c r="E431" s="94"/>
    </row>
    <row r="432" spans="1:19" ht="16" x14ac:dyDescent="0.45">
      <c r="A432" s="94"/>
      <c r="B432" s="94"/>
      <c r="C432" s="94"/>
      <c r="D432" s="94"/>
      <c r="E432" s="94"/>
    </row>
    <row r="433" spans="1:5" ht="16" x14ac:dyDescent="0.45">
      <c r="A433" s="94"/>
      <c r="B433" s="94"/>
      <c r="C433" s="94"/>
      <c r="D433" s="94"/>
      <c r="E433" s="94"/>
    </row>
    <row r="434" spans="1:5" ht="16" x14ac:dyDescent="0.45">
      <c r="A434" s="94"/>
      <c r="B434" s="94"/>
      <c r="C434" s="94"/>
      <c r="D434" s="94"/>
      <c r="E434" s="94"/>
    </row>
    <row r="435" spans="1:5" ht="16" x14ac:dyDescent="0.45">
      <c r="A435" s="94"/>
      <c r="B435" s="94"/>
      <c r="C435" s="94"/>
      <c r="D435" s="94"/>
      <c r="E435" s="94"/>
    </row>
    <row r="436" spans="1:5" ht="16" x14ac:dyDescent="0.45">
      <c r="A436" s="94"/>
      <c r="B436" s="94"/>
      <c r="C436" s="94"/>
      <c r="D436" s="94"/>
      <c r="E436" s="94"/>
    </row>
    <row r="437" spans="1:5" ht="16" x14ac:dyDescent="0.45">
      <c r="A437" s="94"/>
      <c r="B437" s="94"/>
      <c r="C437" s="94"/>
      <c r="D437" s="94"/>
      <c r="E437" s="94"/>
    </row>
    <row r="438" spans="1:5" ht="16" x14ac:dyDescent="0.45">
      <c r="A438" s="94"/>
      <c r="B438" s="94"/>
      <c r="C438" s="94"/>
      <c r="D438" s="94"/>
      <c r="E438" s="94"/>
    </row>
    <row r="439" spans="1:5" ht="16" x14ac:dyDescent="0.45">
      <c r="A439" s="94"/>
      <c r="B439" s="94"/>
      <c r="C439" s="94"/>
      <c r="D439" s="94"/>
      <c r="E439" s="94"/>
    </row>
    <row r="440" spans="1:5" ht="16" x14ac:dyDescent="0.45">
      <c r="A440" s="94"/>
      <c r="B440" s="94"/>
      <c r="C440" s="94"/>
      <c r="D440" s="94"/>
      <c r="E440" s="94"/>
    </row>
    <row r="441" spans="1:5" ht="16" x14ac:dyDescent="0.45">
      <c r="A441" s="94"/>
      <c r="B441" s="94"/>
      <c r="C441" s="94"/>
      <c r="D441" s="94"/>
      <c r="E441" s="94"/>
    </row>
    <row r="442" spans="1:5" ht="16" x14ac:dyDescent="0.45">
      <c r="A442" s="94"/>
      <c r="B442" s="94"/>
      <c r="C442" s="94"/>
      <c r="D442" s="94"/>
      <c r="E442" s="94"/>
    </row>
    <row r="443" spans="1:5" ht="16" x14ac:dyDescent="0.45">
      <c r="A443" s="94"/>
      <c r="B443" s="94"/>
      <c r="C443" s="94"/>
      <c r="D443" s="94"/>
      <c r="E443" s="94"/>
    </row>
    <row r="444" spans="1:5" ht="16" x14ac:dyDescent="0.45">
      <c r="A444" s="94"/>
      <c r="B444" s="94"/>
      <c r="C444" s="94"/>
      <c r="D444" s="94"/>
      <c r="E444" s="94"/>
    </row>
    <row r="445" spans="1:5" ht="16" x14ac:dyDescent="0.45">
      <c r="A445" s="94"/>
      <c r="B445" s="94"/>
      <c r="C445" s="94"/>
      <c r="D445" s="94"/>
      <c r="E445" s="94"/>
    </row>
    <row r="446" spans="1:5" ht="16" x14ac:dyDescent="0.45">
      <c r="A446" s="94"/>
      <c r="B446" s="94"/>
      <c r="C446" s="94"/>
      <c r="D446" s="94"/>
      <c r="E446" s="94"/>
    </row>
    <row r="447" spans="1:5" ht="16" x14ac:dyDescent="0.45">
      <c r="A447" s="94"/>
      <c r="B447" s="94"/>
      <c r="C447" s="94"/>
      <c r="D447" s="94"/>
      <c r="E447" s="94"/>
    </row>
    <row r="448" spans="1:5" ht="16" x14ac:dyDescent="0.45">
      <c r="A448" s="94"/>
      <c r="B448" s="94"/>
      <c r="C448" s="94"/>
      <c r="D448" s="94"/>
      <c r="E448" s="94"/>
    </row>
    <row r="449" spans="1:5" ht="16" x14ac:dyDescent="0.45">
      <c r="A449" s="94"/>
      <c r="B449" s="94"/>
      <c r="C449" s="94"/>
      <c r="D449" s="94"/>
      <c r="E449" s="94"/>
    </row>
    <row r="450" spans="1:5" ht="16" x14ac:dyDescent="0.45">
      <c r="A450" s="94"/>
      <c r="B450" s="94"/>
      <c r="C450" s="94"/>
      <c r="D450" s="94"/>
      <c r="E450" s="94"/>
    </row>
    <row r="451" spans="1:5" ht="16" x14ac:dyDescent="0.45">
      <c r="A451" s="94"/>
      <c r="B451" s="94"/>
      <c r="C451" s="94"/>
      <c r="D451" s="94"/>
      <c r="E451" s="94"/>
    </row>
    <row r="452" spans="1:5" ht="16" x14ac:dyDescent="0.45">
      <c r="A452" s="94"/>
      <c r="B452" s="94"/>
      <c r="C452" s="94"/>
      <c r="D452" s="94"/>
      <c r="E452" s="94"/>
    </row>
    <row r="453" spans="1:5" ht="16" x14ac:dyDescent="0.45">
      <c r="A453" s="94"/>
      <c r="B453" s="94"/>
      <c r="C453" s="94"/>
      <c r="D453" s="94"/>
      <c r="E453" s="94"/>
    </row>
    <row r="454" spans="1:5" ht="16" x14ac:dyDescent="0.45">
      <c r="A454" s="94"/>
      <c r="B454" s="94"/>
      <c r="C454" s="94"/>
      <c r="D454" s="94"/>
      <c r="E454" s="94"/>
    </row>
    <row r="455" spans="1:5" ht="16" x14ac:dyDescent="0.45">
      <c r="A455" s="94"/>
      <c r="B455" s="94"/>
      <c r="C455" s="94"/>
      <c r="D455" s="94"/>
      <c r="E455" s="94"/>
    </row>
    <row r="456" spans="1:5" ht="16" x14ac:dyDescent="0.45">
      <c r="A456" s="94"/>
      <c r="B456" s="94"/>
      <c r="C456" s="94"/>
      <c r="D456" s="94"/>
      <c r="E456" s="94"/>
    </row>
    <row r="457" spans="1:5" ht="16" x14ac:dyDescent="0.45">
      <c r="A457" s="94"/>
      <c r="B457" s="94"/>
      <c r="C457" s="94"/>
      <c r="D457" s="94"/>
      <c r="E457" s="94"/>
    </row>
    <row r="458" spans="1:5" ht="16" x14ac:dyDescent="0.45">
      <c r="A458" s="94"/>
      <c r="B458" s="94"/>
      <c r="C458" s="94"/>
      <c r="D458" s="94"/>
      <c r="E458" s="94"/>
    </row>
    <row r="459" spans="1:5" ht="16" x14ac:dyDescent="0.45">
      <c r="A459" s="94"/>
      <c r="B459" s="94"/>
      <c r="C459" s="94"/>
      <c r="D459" s="94"/>
      <c r="E459" s="94"/>
    </row>
    <row r="460" spans="1:5" ht="16" x14ac:dyDescent="0.45">
      <c r="A460" s="94"/>
      <c r="B460" s="94"/>
      <c r="C460" s="94"/>
      <c r="D460" s="94"/>
      <c r="E460" s="94"/>
    </row>
    <row r="461" spans="1:5" ht="16" x14ac:dyDescent="0.45">
      <c r="A461" s="94"/>
      <c r="B461" s="94"/>
      <c r="C461" s="94"/>
      <c r="D461" s="94"/>
      <c r="E461" s="94"/>
    </row>
    <row r="462" spans="1:5" ht="16" x14ac:dyDescent="0.45">
      <c r="A462" s="94"/>
      <c r="B462" s="94"/>
      <c r="C462" s="94"/>
      <c r="D462" s="94"/>
      <c r="E462" s="94"/>
    </row>
    <row r="463" spans="1:5" ht="16" x14ac:dyDescent="0.45">
      <c r="A463" s="94"/>
      <c r="B463" s="94"/>
      <c r="C463" s="94"/>
      <c r="D463" s="94"/>
      <c r="E463" s="94"/>
    </row>
    <row r="464" spans="1:5" ht="16" x14ac:dyDescent="0.45">
      <c r="A464" s="94"/>
      <c r="B464" s="94"/>
      <c r="C464" s="94"/>
      <c r="D464" s="94"/>
      <c r="E464" s="94"/>
    </row>
    <row r="465" spans="1:5" ht="16" x14ac:dyDescent="0.45">
      <c r="A465" s="94"/>
      <c r="B465" s="94"/>
      <c r="C465" s="94"/>
      <c r="D465" s="94"/>
      <c r="E465" s="94"/>
    </row>
    <row r="466" spans="1:5" ht="16" x14ac:dyDescent="0.45">
      <c r="A466" s="94"/>
      <c r="B466" s="94"/>
      <c r="C466" s="94"/>
      <c r="D466" s="94"/>
      <c r="E466" s="94"/>
    </row>
    <row r="467" spans="1:5" ht="16" x14ac:dyDescent="0.45">
      <c r="A467" s="94"/>
      <c r="B467" s="94"/>
      <c r="C467" s="94"/>
      <c r="D467" s="94"/>
      <c r="E467" s="94"/>
    </row>
    <row r="468" spans="1:5" ht="16" x14ac:dyDescent="0.45">
      <c r="A468" s="94"/>
      <c r="B468" s="94"/>
      <c r="C468" s="94"/>
      <c r="D468" s="94"/>
      <c r="E468" s="94"/>
    </row>
    <row r="469" spans="1:5" ht="16" x14ac:dyDescent="0.45">
      <c r="A469" s="94"/>
      <c r="B469" s="94"/>
      <c r="C469" s="94"/>
      <c r="D469" s="94"/>
      <c r="E469" s="94"/>
    </row>
    <row r="470" spans="1:5" ht="16" x14ac:dyDescent="0.45">
      <c r="A470" s="94"/>
      <c r="B470" s="94"/>
      <c r="C470" s="94"/>
      <c r="D470" s="94"/>
      <c r="E470" s="94"/>
    </row>
    <row r="471" spans="1:5" ht="16" x14ac:dyDescent="0.45">
      <c r="A471" s="94"/>
      <c r="B471" s="94"/>
      <c r="C471" s="94"/>
      <c r="D471" s="94"/>
      <c r="E471" s="94"/>
    </row>
    <row r="472" spans="1:5" ht="16" x14ac:dyDescent="0.45">
      <c r="A472" s="94"/>
      <c r="B472" s="94"/>
      <c r="C472" s="94"/>
      <c r="D472" s="94"/>
      <c r="E472" s="94"/>
    </row>
    <row r="473" spans="1:5" ht="16" x14ac:dyDescent="0.45">
      <c r="A473" s="94"/>
      <c r="B473" s="94"/>
      <c r="C473" s="94"/>
      <c r="D473" s="94"/>
      <c r="E473" s="94"/>
    </row>
    <row r="474" spans="1:5" ht="16" x14ac:dyDescent="0.45">
      <c r="A474" s="94"/>
      <c r="B474" s="94"/>
      <c r="C474" s="94"/>
      <c r="D474" s="94"/>
      <c r="E474" s="94"/>
    </row>
    <row r="475" spans="1:5" ht="16" x14ac:dyDescent="0.45">
      <c r="A475" s="94"/>
      <c r="B475" s="94"/>
      <c r="C475" s="94"/>
      <c r="D475" s="94"/>
      <c r="E475" s="94"/>
    </row>
    <row r="476" spans="1:5" ht="16" x14ac:dyDescent="0.45">
      <c r="A476" s="94"/>
      <c r="B476" s="94"/>
      <c r="C476" s="94"/>
      <c r="D476" s="94"/>
      <c r="E476" s="94"/>
    </row>
    <row r="477" spans="1:5" ht="16" x14ac:dyDescent="0.45">
      <c r="A477" s="94"/>
      <c r="B477" s="94"/>
      <c r="C477" s="94"/>
      <c r="D477" s="94"/>
      <c r="E477" s="94"/>
    </row>
    <row r="478" spans="1:5" ht="16" x14ac:dyDescent="0.45">
      <c r="A478" s="94"/>
      <c r="B478" s="94"/>
      <c r="C478" s="94"/>
      <c r="D478" s="94"/>
      <c r="E478" s="94"/>
    </row>
    <row r="479" spans="1:5" ht="16" x14ac:dyDescent="0.45">
      <c r="A479" s="94"/>
      <c r="B479" s="94"/>
      <c r="C479" s="94"/>
      <c r="D479" s="94"/>
      <c r="E479" s="94"/>
    </row>
    <row r="480" spans="1:5" ht="16" x14ac:dyDescent="0.45">
      <c r="A480" s="94"/>
      <c r="B480" s="94"/>
      <c r="C480" s="94"/>
      <c r="D480" s="94"/>
      <c r="E480" s="94"/>
    </row>
    <row r="481" spans="1:5" ht="16" x14ac:dyDescent="0.45">
      <c r="A481" s="94"/>
      <c r="B481" s="94"/>
      <c r="C481" s="94"/>
      <c r="D481" s="94"/>
      <c r="E481" s="94"/>
    </row>
    <row r="482" spans="1:5" ht="16" x14ac:dyDescent="0.45">
      <c r="A482" s="94"/>
      <c r="B482" s="94"/>
      <c r="C482" s="94"/>
      <c r="D482" s="94"/>
      <c r="E482" s="94"/>
    </row>
    <row r="483" spans="1:5" ht="16" x14ac:dyDescent="0.45">
      <c r="A483" s="94"/>
      <c r="B483" s="94"/>
      <c r="C483" s="94"/>
      <c r="D483" s="94"/>
      <c r="E483" s="94"/>
    </row>
    <row r="484" spans="1:5" ht="16" x14ac:dyDescent="0.45">
      <c r="A484" s="94"/>
      <c r="B484" s="94"/>
      <c r="C484" s="94"/>
      <c r="D484" s="94"/>
      <c r="E484" s="94"/>
    </row>
    <row r="485" spans="1:5" ht="16" x14ac:dyDescent="0.45">
      <c r="A485" s="94"/>
      <c r="B485" s="94"/>
      <c r="C485" s="94"/>
      <c r="D485" s="94"/>
      <c r="E485" s="94"/>
    </row>
    <row r="486" spans="1:5" ht="16" x14ac:dyDescent="0.45">
      <c r="A486" s="94"/>
      <c r="B486" s="94"/>
      <c r="C486" s="94"/>
      <c r="D486" s="94"/>
      <c r="E486" s="94"/>
    </row>
    <row r="487" spans="1:5" ht="16" x14ac:dyDescent="0.45">
      <c r="A487" s="94"/>
      <c r="B487" s="94"/>
      <c r="C487" s="94"/>
      <c r="D487" s="94"/>
      <c r="E487" s="94"/>
    </row>
    <row r="488" spans="1:5" ht="16" x14ac:dyDescent="0.45">
      <c r="A488" s="94"/>
      <c r="B488" s="94"/>
      <c r="C488" s="94"/>
      <c r="D488" s="94"/>
      <c r="E488" s="94"/>
    </row>
    <row r="489" spans="1:5" ht="16" x14ac:dyDescent="0.45">
      <c r="A489" s="94"/>
      <c r="B489" s="94"/>
      <c r="C489" s="94"/>
      <c r="D489" s="94"/>
      <c r="E489" s="94"/>
    </row>
    <row r="490" spans="1:5" ht="16" x14ac:dyDescent="0.45">
      <c r="A490" s="94"/>
      <c r="B490" s="94"/>
      <c r="C490" s="94"/>
      <c r="D490" s="94"/>
      <c r="E490" s="94"/>
    </row>
    <row r="491" spans="1:5" ht="16" x14ac:dyDescent="0.45">
      <c r="A491" s="94"/>
      <c r="B491" s="94"/>
      <c r="C491" s="94"/>
      <c r="D491" s="94"/>
      <c r="E491" s="94"/>
    </row>
    <row r="492" spans="1:5" ht="16" x14ac:dyDescent="0.45">
      <c r="A492" s="94"/>
      <c r="B492" s="94"/>
      <c r="C492" s="94"/>
      <c r="D492" s="94"/>
      <c r="E492" s="94"/>
    </row>
    <row r="493" spans="1:5" ht="16" x14ac:dyDescent="0.45">
      <c r="A493" s="94"/>
      <c r="B493" s="94"/>
      <c r="C493" s="94"/>
      <c r="D493" s="94"/>
      <c r="E493" s="94"/>
    </row>
    <row r="494" spans="1:5" ht="16" x14ac:dyDescent="0.45">
      <c r="A494" s="94"/>
      <c r="B494" s="94"/>
      <c r="C494" s="94"/>
      <c r="D494" s="94"/>
      <c r="E494" s="94"/>
    </row>
    <row r="495" spans="1:5" ht="16" x14ac:dyDescent="0.45">
      <c r="A495" s="94"/>
      <c r="B495" s="94"/>
      <c r="C495" s="94"/>
      <c r="D495" s="94"/>
      <c r="E495" s="94"/>
    </row>
    <row r="496" spans="1:5" ht="16" x14ac:dyDescent="0.45">
      <c r="A496" s="94"/>
      <c r="B496" s="94"/>
      <c r="C496" s="94"/>
      <c r="D496" s="94"/>
      <c r="E496" s="94"/>
    </row>
    <row r="497" spans="1:5" ht="16" x14ac:dyDescent="0.45">
      <c r="A497" s="94"/>
      <c r="B497" s="94"/>
      <c r="C497" s="94"/>
      <c r="D497" s="94"/>
      <c r="E497" s="94"/>
    </row>
    <row r="498" spans="1:5" ht="16" x14ac:dyDescent="0.45">
      <c r="A498" s="94"/>
      <c r="B498" s="94"/>
      <c r="C498" s="94"/>
      <c r="D498" s="94"/>
      <c r="E498" s="94"/>
    </row>
    <row r="499" spans="1:5" ht="16" x14ac:dyDescent="0.45">
      <c r="A499" s="94"/>
      <c r="B499" s="94"/>
      <c r="C499" s="94"/>
      <c r="D499" s="94"/>
      <c r="E499" s="94"/>
    </row>
    <row r="500" spans="1:5" ht="16" x14ac:dyDescent="0.45">
      <c r="A500" s="94"/>
      <c r="B500" s="94"/>
      <c r="C500" s="94"/>
      <c r="D500" s="94"/>
      <c r="E500" s="94"/>
    </row>
    <row r="501" spans="1:5" ht="16" x14ac:dyDescent="0.45">
      <c r="A501" s="94"/>
      <c r="B501" s="94"/>
      <c r="C501" s="94"/>
      <c r="D501" s="94"/>
      <c r="E501" s="94"/>
    </row>
    <row r="502" spans="1:5" ht="16" x14ac:dyDescent="0.45">
      <c r="A502" s="94"/>
      <c r="B502" s="94"/>
      <c r="C502" s="94"/>
      <c r="D502" s="94"/>
      <c r="E502" s="94"/>
    </row>
    <row r="503" spans="1:5" ht="16" x14ac:dyDescent="0.45">
      <c r="A503" s="94"/>
      <c r="B503" s="94"/>
      <c r="C503" s="94"/>
      <c r="D503" s="94"/>
      <c r="E503" s="94"/>
    </row>
    <row r="504" spans="1:5" ht="16" x14ac:dyDescent="0.45">
      <c r="A504" s="94"/>
      <c r="B504" s="94"/>
      <c r="C504" s="94"/>
      <c r="D504" s="94"/>
      <c r="E504" s="94"/>
    </row>
    <row r="505" spans="1:5" ht="16" x14ac:dyDescent="0.45">
      <c r="A505" s="94"/>
      <c r="B505" s="94"/>
      <c r="C505" s="94"/>
      <c r="D505" s="94"/>
      <c r="E505" s="94"/>
    </row>
    <row r="506" spans="1:5" ht="16" x14ac:dyDescent="0.45">
      <c r="A506" s="94"/>
      <c r="B506" s="94"/>
      <c r="C506" s="94"/>
      <c r="D506" s="94"/>
      <c r="E506" s="94"/>
    </row>
    <row r="507" spans="1:5" ht="16" x14ac:dyDescent="0.45">
      <c r="A507" s="94"/>
      <c r="B507" s="94"/>
      <c r="C507" s="94"/>
      <c r="D507" s="94"/>
      <c r="E507" s="94"/>
    </row>
    <row r="508" spans="1:5" ht="16" x14ac:dyDescent="0.45">
      <c r="A508" s="94"/>
      <c r="B508" s="94"/>
      <c r="C508" s="94"/>
      <c r="D508" s="94"/>
      <c r="E508" s="94"/>
    </row>
    <row r="509" spans="1:5" ht="16" x14ac:dyDescent="0.45">
      <c r="A509" s="94"/>
      <c r="B509" s="94"/>
      <c r="C509" s="94"/>
      <c r="D509" s="94"/>
      <c r="E509" s="94"/>
    </row>
    <row r="510" spans="1:5" ht="16" x14ac:dyDescent="0.45">
      <c r="A510" s="94"/>
      <c r="B510" s="94"/>
      <c r="C510" s="94"/>
      <c r="D510" s="94"/>
      <c r="E510" s="94"/>
    </row>
    <row r="511" spans="1:5" ht="16" x14ac:dyDescent="0.45">
      <c r="A511" s="94"/>
      <c r="B511" s="94"/>
      <c r="C511" s="94"/>
      <c r="D511" s="94"/>
      <c r="E511" s="94"/>
    </row>
    <row r="512" spans="1:5" ht="16" x14ac:dyDescent="0.45">
      <c r="A512" s="94"/>
      <c r="B512" s="94"/>
      <c r="C512" s="94"/>
      <c r="D512" s="94"/>
      <c r="E512" s="94"/>
    </row>
    <row r="513" spans="1:5" ht="16" x14ac:dyDescent="0.45">
      <c r="A513" s="94"/>
      <c r="B513" s="94"/>
      <c r="C513" s="94"/>
      <c r="D513" s="94"/>
      <c r="E513" s="94"/>
    </row>
    <row r="514" spans="1:5" ht="16" x14ac:dyDescent="0.45">
      <c r="A514" s="94"/>
      <c r="B514" s="94"/>
      <c r="C514" s="94"/>
      <c r="D514" s="94"/>
      <c r="E514" s="94"/>
    </row>
    <row r="515" spans="1:5" ht="16" x14ac:dyDescent="0.45">
      <c r="A515" s="94"/>
      <c r="B515" s="94"/>
      <c r="C515" s="94"/>
      <c r="D515" s="94"/>
      <c r="E515" s="94"/>
    </row>
    <row r="516" spans="1:5" ht="16" x14ac:dyDescent="0.45">
      <c r="A516" s="94"/>
      <c r="B516" s="94"/>
      <c r="C516" s="94"/>
      <c r="D516" s="94"/>
      <c r="E516" s="94"/>
    </row>
    <row r="517" spans="1:5" ht="16" x14ac:dyDescent="0.45">
      <c r="A517" s="94"/>
      <c r="B517" s="94"/>
      <c r="C517" s="94"/>
      <c r="D517" s="94"/>
      <c r="E517" s="94"/>
    </row>
    <row r="518" spans="1:5" ht="16" x14ac:dyDescent="0.45">
      <c r="A518" s="94"/>
      <c r="B518" s="94"/>
      <c r="C518" s="94"/>
      <c r="D518" s="94"/>
      <c r="E518" s="94"/>
    </row>
    <row r="519" spans="1:5" ht="16" x14ac:dyDescent="0.45">
      <c r="A519" s="94"/>
      <c r="B519" s="94"/>
      <c r="C519" s="94"/>
      <c r="D519" s="94"/>
      <c r="E519" s="94"/>
    </row>
    <row r="520" spans="1:5" ht="16" x14ac:dyDescent="0.45">
      <c r="A520" s="94"/>
      <c r="B520" s="94"/>
      <c r="C520" s="94"/>
      <c r="D520" s="94"/>
      <c r="E520" s="94"/>
    </row>
    <row r="521" spans="1:5" ht="16" x14ac:dyDescent="0.45">
      <c r="A521" s="94"/>
      <c r="B521" s="94"/>
      <c r="C521" s="94"/>
      <c r="D521" s="94"/>
      <c r="E521" s="94"/>
    </row>
    <row r="522" spans="1:5" ht="16" x14ac:dyDescent="0.45">
      <c r="A522" s="94"/>
      <c r="B522" s="94"/>
      <c r="C522" s="94"/>
      <c r="D522" s="94"/>
      <c r="E522" s="94"/>
    </row>
    <row r="523" spans="1:5" ht="16" x14ac:dyDescent="0.45">
      <c r="A523" s="94"/>
      <c r="B523" s="94"/>
      <c r="C523" s="94"/>
      <c r="D523" s="94"/>
      <c r="E523" s="94"/>
    </row>
    <row r="524" spans="1:5" ht="16" x14ac:dyDescent="0.45">
      <c r="A524" s="94"/>
      <c r="B524" s="94"/>
      <c r="C524" s="94"/>
      <c r="D524" s="94"/>
      <c r="E524" s="94"/>
    </row>
    <row r="525" spans="1:5" ht="16" x14ac:dyDescent="0.45">
      <c r="A525" s="94"/>
      <c r="B525" s="94"/>
      <c r="C525" s="94"/>
      <c r="D525" s="94"/>
      <c r="E525" s="94"/>
    </row>
    <row r="526" spans="1:5" ht="16" x14ac:dyDescent="0.45">
      <c r="A526" s="94"/>
      <c r="B526" s="94"/>
      <c r="C526" s="94"/>
      <c r="D526" s="94"/>
      <c r="E526" s="94"/>
    </row>
    <row r="527" spans="1:5" ht="16" x14ac:dyDescent="0.45">
      <c r="A527" s="94"/>
      <c r="B527" s="94"/>
      <c r="C527" s="94"/>
      <c r="D527" s="94"/>
      <c r="E527" s="94"/>
    </row>
    <row r="528" spans="1:5" ht="16" x14ac:dyDescent="0.45">
      <c r="A528" s="94"/>
      <c r="B528" s="94"/>
      <c r="C528" s="94"/>
      <c r="D528" s="94"/>
      <c r="E528" s="94"/>
    </row>
    <row r="529" spans="1:5" ht="16" x14ac:dyDescent="0.45">
      <c r="A529" s="94"/>
      <c r="B529" s="94"/>
      <c r="C529" s="94"/>
      <c r="D529" s="94"/>
      <c r="E529" s="94"/>
    </row>
    <row r="530" spans="1:5" ht="16" x14ac:dyDescent="0.45">
      <c r="A530" s="94"/>
      <c r="B530" s="94"/>
      <c r="C530" s="94"/>
      <c r="D530" s="94"/>
      <c r="E530" s="94"/>
    </row>
    <row r="531" spans="1:5" ht="16" x14ac:dyDescent="0.45">
      <c r="A531" s="94"/>
      <c r="B531" s="94"/>
      <c r="C531" s="94"/>
      <c r="D531" s="94"/>
      <c r="E531" s="94"/>
    </row>
    <row r="532" spans="1:5" ht="16" x14ac:dyDescent="0.45">
      <c r="A532" s="94"/>
      <c r="B532" s="94"/>
      <c r="C532" s="94"/>
      <c r="D532" s="94"/>
      <c r="E532" s="94"/>
    </row>
    <row r="533" spans="1:5" ht="16" x14ac:dyDescent="0.45">
      <c r="A533" s="94"/>
      <c r="B533" s="94"/>
      <c r="C533" s="94"/>
      <c r="D533" s="94"/>
      <c r="E533" s="94"/>
    </row>
    <row r="534" spans="1:5" ht="16" x14ac:dyDescent="0.45">
      <c r="A534" s="94"/>
      <c r="B534" s="94"/>
      <c r="C534" s="94"/>
      <c r="D534" s="94"/>
      <c r="E534" s="94"/>
    </row>
    <row r="535" spans="1:5" ht="16" x14ac:dyDescent="0.45">
      <c r="A535" s="94"/>
      <c r="B535" s="94"/>
      <c r="C535" s="94"/>
      <c r="D535" s="94"/>
      <c r="E535" s="94"/>
    </row>
    <row r="536" spans="1:5" ht="16" x14ac:dyDescent="0.45">
      <c r="A536" s="94"/>
      <c r="B536" s="94"/>
      <c r="C536" s="94"/>
      <c r="D536" s="94"/>
      <c r="E536" s="94"/>
    </row>
    <row r="537" spans="1:5" ht="16" x14ac:dyDescent="0.45">
      <c r="A537" s="94"/>
      <c r="B537" s="94"/>
      <c r="C537" s="94"/>
      <c r="D537" s="94"/>
      <c r="E537" s="94"/>
    </row>
    <row r="538" spans="1:5" ht="16" x14ac:dyDescent="0.45">
      <c r="A538" s="94"/>
      <c r="B538" s="94"/>
      <c r="C538" s="94"/>
      <c r="D538" s="94"/>
      <c r="E538" s="94"/>
    </row>
    <row r="539" spans="1:5" ht="16" x14ac:dyDescent="0.45">
      <c r="A539" s="94"/>
      <c r="B539" s="94"/>
      <c r="C539" s="94"/>
      <c r="D539" s="94"/>
      <c r="E539" s="94"/>
    </row>
    <row r="540" spans="1:5" ht="16" x14ac:dyDescent="0.45">
      <c r="A540" s="94"/>
      <c r="B540" s="94"/>
      <c r="C540" s="94"/>
      <c r="D540" s="94"/>
      <c r="E540" s="94"/>
    </row>
    <row r="541" spans="1:5" ht="16" x14ac:dyDescent="0.45">
      <c r="A541" s="94"/>
      <c r="B541" s="94"/>
      <c r="C541" s="94"/>
      <c r="D541" s="94"/>
      <c r="E541" s="94"/>
    </row>
    <row r="542" spans="1:5" ht="16" x14ac:dyDescent="0.45">
      <c r="A542" s="94"/>
      <c r="B542" s="94"/>
      <c r="C542" s="94"/>
      <c r="D542" s="94"/>
      <c r="E542" s="94"/>
    </row>
    <row r="543" spans="1:5" ht="16" x14ac:dyDescent="0.45">
      <c r="A543" s="94"/>
      <c r="B543" s="94"/>
      <c r="C543" s="94"/>
      <c r="D543" s="94"/>
      <c r="E543" s="94"/>
    </row>
    <row r="544" spans="1:5" ht="16" x14ac:dyDescent="0.45">
      <c r="A544" s="94"/>
      <c r="B544" s="94"/>
      <c r="C544" s="94"/>
      <c r="D544" s="94"/>
      <c r="E544" s="94"/>
    </row>
    <row r="545" spans="1:5" ht="16" x14ac:dyDescent="0.45">
      <c r="A545" s="94"/>
      <c r="B545" s="94"/>
      <c r="C545" s="94"/>
      <c r="D545" s="94"/>
      <c r="E545" s="94"/>
    </row>
    <row r="546" spans="1:5" ht="16" x14ac:dyDescent="0.45">
      <c r="A546" s="94"/>
      <c r="B546" s="94"/>
      <c r="C546" s="94"/>
      <c r="D546" s="94"/>
      <c r="E546" s="94"/>
    </row>
    <row r="547" spans="1:5" ht="16" x14ac:dyDescent="0.45">
      <c r="A547" s="94"/>
      <c r="B547" s="94"/>
      <c r="C547" s="94"/>
      <c r="D547" s="94"/>
      <c r="E547" s="94"/>
    </row>
    <row r="548" spans="1:5" ht="16" x14ac:dyDescent="0.45">
      <c r="A548" s="94"/>
      <c r="B548" s="94"/>
      <c r="C548" s="94"/>
      <c r="D548" s="94"/>
      <c r="E548" s="94"/>
    </row>
    <row r="549" spans="1:5" ht="16" x14ac:dyDescent="0.45">
      <c r="A549" s="94"/>
      <c r="B549" s="94"/>
      <c r="C549" s="94"/>
      <c r="D549" s="94"/>
      <c r="E549" s="94"/>
    </row>
    <row r="550" spans="1:5" ht="16" x14ac:dyDescent="0.45">
      <c r="A550" s="94"/>
      <c r="B550" s="94"/>
      <c r="C550" s="94"/>
      <c r="D550" s="94"/>
      <c r="E550" s="94"/>
    </row>
    <row r="551" spans="1:5" ht="16" x14ac:dyDescent="0.45">
      <c r="A551" s="94"/>
      <c r="B551" s="94"/>
      <c r="C551" s="94"/>
      <c r="D551" s="94"/>
      <c r="E551" s="94"/>
    </row>
    <row r="552" spans="1:5" ht="16" x14ac:dyDescent="0.45">
      <c r="A552" s="94"/>
      <c r="B552" s="94"/>
      <c r="C552" s="94"/>
      <c r="D552" s="94"/>
      <c r="E552" s="94"/>
    </row>
    <row r="553" spans="1:5" ht="16" x14ac:dyDescent="0.45">
      <c r="A553" s="94"/>
      <c r="B553" s="94"/>
      <c r="C553" s="94"/>
      <c r="D553" s="94"/>
      <c r="E553" s="94"/>
    </row>
    <row r="554" spans="1:5" ht="16" x14ac:dyDescent="0.45">
      <c r="A554" s="94"/>
      <c r="B554" s="94"/>
      <c r="C554" s="94"/>
      <c r="D554" s="94"/>
      <c r="E554" s="94"/>
    </row>
    <row r="555" spans="1:5" ht="16" x14ac:dyDescent="0.45">
      <c r="A555" s="94"/>
      <c r="B555" s="94"/>
      <c r="C555" s="94"/>
      <c r="D555" s="94"/>
      <c r="E555" s="94"/>
    </row>
    <row r="556" spans="1:5" ht="16" x14ac:dyDescent="0.45">
      <c r="A556" s="94"/>
      <c r="B556" s="94"/>
      <c r="C556" s="94"/>
      <c r="D556" s="94"/>
      <c r="E556" s="94"/>
    </row>
    <row r="557" spans="1:5" ht="16" x14ac:dyDescent="0.45">
      <c r="A557" s="94"/>
      <c r="B557" s="94"/>
      <c r="C557" s="94"/>
      <c r="D557" s="94"/>
      <c r="E557" s="94"/>
    </row>
    <row r="558" spans="1:5" ht="16" x14ac:dyDescent="0.45">
      <c r="A558" s="94"/>
      <c r="B558" s="94"/>
      <c r="C558" s="94"/>
      <c r="D558" s="94"/>
      <c r="E558" s="94"/>
    </row>
    <row r="559" spans="1:5" ht="16" x14ac:dyDescent="0.45">
      <c r="A559" s="94"/>
      <c r="B559" s="94"/>
      <c r="C559" s="94"/>
      <c r="D559" s="94"/>
      <c r="E559" s="94"/>
    </row>
    <row r="560" spans="1:5" ht="16" x14ac:dyDescent="0.45">
      <c r="A560" s="94"/>
      <c r="B560" s="94"/>
      <c r="C560" s="94"/>
      <c r="D560" s="94"/>
      <c r="E560" s="94"/>
    </row>
    <row r="561" spans="1:5" ht="16" x14ac:dyDescent="0.45">
      <c r="A561" s="94"/>
      <c r="B561" s="94"/>
      <c r="C561" s="94"/>
      <c r="D561" s="94"/>
      <c r="E561" s="94"/>
    </row>
    <row r="562" spans="1:5" ht="16" x14ac:dyDescent="0.45">
      <c r="A562" s="94"/>
      <c r="B562" s="94"/>
      <c r="C562" s="94"/>
      <c r="D562" s="94"/>
      <c r="E562" s="94"/>
    </row>
    <row r="563" spans="1:5" ht="16" x14ac:dyDescent="0.45">
      <c r="A563" s="94"/>
      <c r="B563" s="94"/>
      <c r="C563" s="94"/>
      <c r="D563" s="94"/>
      <c r="E563" s="94"/>
    </row>
    <row r="564" spans="1:5" ht="16" x14ac:dyDescent="0.45">
      <c r="A564" s="94"/>
      <c r="B564" s="94"/>
      <c r="C564" s="94"/>
      <c r="D564" s="94"/>
      <c r="E564" s="94"/>
    </row>
    <row r="565" spans="1:5" ht="16" x14ac:dyDescent="0.45">
      <c r="A565" s="94"/>
      <c r="B565" s="94"/>
      <c r="C565" s="94"/>
      <c r="D565" s="94"/>
      <c r="E565" s="94"/>
    </row>
    <row r="566" spans="1:5" ht="16" x14ac:dyDescent="0.45">
      <c r="A566" s="94"/>
      <c r="B566" s="94"/>
      <c r="C566" s="94"/>
      <c r="D566" s="94"/>
      <c r="E566" s="94"/>
    </row>
    <row r="567" spans="1:5" ht="16" x14ac:dyDescent="0.45">
      <c r="A567" s="94"/>
      <c r="B567" s="94"/>
      <c r="C567" s="94"/>
      <c r="D567" s="94"/>
      <c r="E567" s="94"/>
    </row>
    <row r="568" spans="1:5" ht="16" x14ac:dyDescent="0.45">
      <c r="A568" s="94"/>
      <c r="B568" s="94"/>
      <c r="C568" s="94"/>
      <c r="D568" s="94"/>
      <c r="E568" s="94"/>
    </row>
    <row r="569" spans="1:5" ht="16" x14ac:dyDescent="0.45">
      <c r="A569" s="94"/>
      <c r="B569" s="94"/>
      <c r="C569" s="94"/>
      <c r="D569" s="94"/>
      <c r="E569" s="94"/>
    </row>
    <row r="570" spans="1:5" ht="16" x14ac:dyDescent="0.45">
      <c r="A570" s="94"/>
      <c r="B570" s="94"/>
      <c r="C570" s="94"/>
      <c r="D570" s="94"/>
      <c r="E570" s="94"/>
    </row>
    <row r="571" spans="1:5" ht="16" x14ac:dyDescent="0.45">
      <c r="A571" s="94"/>
      <c r="B571" s="94"/>
      <c r="C571" s="94"/>
      <c r="D571" s="94"/>
      <c r="E571" s="94"/>
    </row>
    <row r="572" spans="1:5" ht="16" x14ac:dyDescent="0.45">
      <c r="A572" s="94"/>
      <c r="B572" s="94"/>
      <c r="C572" s="94"/>
      <c r="D572" s="94"/>
      <c r="E572" s="94"/>
    </row>
    <row r="573" spans="1:5" ht="16" x14ac:dyDescent="0.45">
      <c r="A573" s="94"/>
      <c r="B573" s="94"/>
      <c r="C573" s="94"/>
      <c r="D573" s="94"/>
      <c r="E573" s="94"/>
    </row>
    <row r="574" spans="1:5" ht="16" x14ac:dyDescent="0.45">
      <c r="A574" s="94"/>
      <c r="B574" s="94"/>
      <c r="C574" s="94"/>
      <c r="D574" s="94"/>
      <c r="E574" s="94"/>
    </row>
    <row r="575" spans="1:5" ht="16" x14ac:dyDescent="0.45">
      <c r="A575" s="94"/>
      <c r="B575" s="94"/>
      <c r="C575" s="94"/>
      <c r="D575" s="94"/>
      <c r="E575" s="94"/>
    </row>
    <row r="576" spans="1:5" ht="16" x14ac:dyDescent="0.45">
      <c r="A576" s="94"/>
      <c r="B576" s="94"/>
      <c r="C576" s="94"/>
      <c r="D576" s="94"/>
      <c r="E576" s="94"/>
    </row>
    <row r="577" spans="1:5" ht="16" x14ac:dyDescent="0.45">
      <c r="A577" s="94"/>
      <c r="B577" s="94"/>
      <c r="C577" s="94"/>
      <c r="D577" s="94"/>
      <c r="E577" s="94"/>
    </row>
    <row r="578" spans="1:5" ht="16" x14ac:dyDescent="0.45">
      <c r="A578" s="94"/>
      <c r="B578" s="94"/>
      <c r="C578" s="94"/>
      <c r="D578" s="94"/>
      <c r="E578" s="94"/>
    </row>
    <row r="579" spans="1:5" ht="16" x14ac:dyDescent="0.45">
      <c r="A579" s="94"/>
      <c r="B579" s="94"/>
      <c r="C579" s="94"/>
      <c r="D579" s="94"/>
      <c r="E579" s="94"/>
    </row>
    <row r="580" spans="1:5" ht="16" x14ac:dyDescent="0.45">
      <c r="A580" s="94"/>
      <c r="B580" s="94"/>
      <c r="C580" s="94"/>
      <c r="D580" s="94"/>
      <c r="E580" s="94"/>
    </row>
    <row r="581" spans="1:5" ht="16" x14ac:dyDescent="0.45">
      <c r="A581" s="94"/>
      <c r="B581" s="94"/>
      <c r="C581" s="94"/>
      <c r="D581" s="94"/>
      <c r="E581" s="94"/>
    </row>
    <row r="582" spans="1:5" ht="16" x14ac:dyDescent="0.45">
      <c r="A582" s="94"/>
      <c r="B582" s="94"/>
      <c r="C582" s="94"/>
      <c r="D582" s="94"/>
      <c r="E582" s="94"/>
    </row>
    <row r="583" spans="1:5" ht="16" x14ac:dyDescent="0.45">
      <c r="A583" s="94"/>
      <c r="B583" s="94"/>
      <c r="C583" s="94"/>
      <c r="D583" s="94"/>
      <c r="E583" s="94"/>
    </row>
    <row r="584" spans="1:5" ht="16" x14ac:dyDescent="0.45">
      <c r="A584" s="94"/>
      <c r="B584" s="94"/>
      <c r="C584" s="94"/>
      <c r="D584" s="94"/>
      <c r="E584" s="94"/>
    </row>
    <row r="585" spans="1:5" ht="16" x14ac:dyDescent="0.45">
      <c r="A585" s="94"/>
      <c r="B585" s="94"/>
      <c r="C585" s="94"/>
      <c r="D585" s="94"/>
      <c r="E585" s="94"/>
    </row>
    <row r="586" spans="1:5" ht="16" x14ac:dyDescent="0.45">
      <c r="A586" s="94"/>
      <c r="B586" s="94"/>
      <c r="C586" s="94"/>
      <c r="D586" s="94"/>
      <c r="E586" s="94"/>
    </row>
    <row r="587" spans="1:5" ht="16" x14ac:dyDescent="0.45">
      <c r="A587" s="94"/>
      <c r="B587" s="94"/>
      <c r="C587" s="94"/>
      <c r="D587" s="94"/>
      <c r="E587" s="94"/>
    </row>
    <row r="588" spans="1:5" ht="16" x14ac:dyDescent="0.45">
      <c r="A588" s="94"/>
      <c r="B588" s="94"/>
      <c r="C588" s="94"/>
      <c r="D588" s="94"/>
      <c r="E588" s="94"/>
    </row>
    <row r="589" spans="1:5" ht="16" x14ac:dyDescent="0.45">
      <c r="A589" s="94"/>
      <c r="B589" s="94"/>
      <c r="C589" s="94"/>
      <c r="D589" s="94"/>
      <c r="E589" s="94"/>
    </row>
    <row r="590" spans="1:5" ht="16" x14ac:dyDescent="0.45">
      <c r="A590" s="94"/>
      <c r="B590" s="94"/>
      <c r="C590" s="94"/>
      <c r="D590" s="94"/>
      <c r="E590" s="94"/>
    </row>
    <row r="591" spans="1:5" ht="16" x14ac:dyDescent="0.45">
      <c r="A591" s="94"/>
      <c r="B591" s="94"/>
      <c r="C591" s="94"/>
      <c r="D591" s="94"/>
      <c r="E591" s="94"/>
    </row>
    <row r="592" spans="1:5" ht="16" x14ac:dyDescent="0.45">
      <c r="A592" s="94"/>
      <c r="B592" s="94"/>
      <c r="C592" s="94"/>
      <c r="D592" s="94"/>
      <c r="E592" s="94"/>
    </row>
    <row r="593" spans="1:5" ht="16" x14ac:dyDescent="0.45">
      <c r="A593" s="94"/>
      <c r="B593" s="94"/>
      <c r="C593" s="94"/>
      <c r="D593" s="94"/>
      <c r="E593" s="94"/>
    </row>
    <row r="594" spans="1:5" ht="16" x14ac:dyDescent="0.45">
      <c r="A594" s="94"/>
      <c r="B594" s="94"/>
      <c r="C594" s="94"/>
      <c r="D594" s="94"/>
      <c r="E594" s="94"/>
    </row>
    <row r="595" spans="1:5" ht="16" x14ac:dyDescent="0.45">
      <c r="A595" s="94"/>
      <c r="B595" s="94"/>
      <c r="C595" s="94"/>
      <c r="D595" s="94"/>
      <c r="E595" s="94"/>
    </row>
    <row r="596" spans="1:5" ht="16" x14ac:dyDescent="0.45">
      <c r="A596" s="94"/>
      <c r="B596" s="94"/>
      <c r="C596" s="94"/>
      <c r="D596" s="94"/>
      <c r="E596" s="94"/>
    </row>
    <row r="597" spans="1:5" ht="16" x14ac:dyDescent="0.45">
      <c r="A597" s="94"/>
      <c r="B597" s="94"/>
      <c r="C597" s="94"/>
      <c r="D597" s="94"/>
      <c r="E597" s="94"/>
    </row>
    <row r="598" spans="1:5" ht="16" x14ac:dyDescent="0.45">
      <c r="A598" s="94"/>
      <c r="B598" s="94"/>
      <c r="C598" s="94"/>
      <c r="D598" s="94"/>
      <c r="E598" s="94"/>
    </row>
    <row r="599" spans="1:5" ht="16" x14ac:dyDescent="0.45">
      <c r="A599" s="94"/>
      <c r="B599" s="94"/>
      <c r="C599" s="94"/>
      <c r="D599" s="94"/>
      <c r="E599" s="94"/>
    </row>
    <row r="600" spans="1:5" ht="16" x14ac:dyDescent="0.45">
      <c r="A600" s="94"/>
      <c r="B600" s="94"/>
      <c r="C600" s="94"/>
      <c r="D600" s="94"/>
      <c r="E600" s="94"/>
    </row>
    <row r="601" spans="1:5" ht="16" x14ac:dyDescent="0.45">
      <c r="A601" s="94"/>
      <c r="B601" s="94"/>
      <c r="C601" s="94"/>
      <c r="D601" s="94"/>
      <c r="E601" s="94"/>
    </row>
    <row r="602" spans="1:5" ht="16" x14ac:dyDescent="0.45">
      <c r="A602" s="94"/>
      <c r="B602" s="94"/>
      <c r="C602" s="94"/>
      <c r="D602" s="94"/>
      <c r="E602" s="94"/>
    </row>
    <row r="603" spans="1:5" ht="16" x14ac:dyDescent="0.45">
      <c r="A603" s="94"/>
      <c r="B603" s="94"/>
      <c r="C603" s="94"/>
      <c r="D603" s="94"/>
      <c r="E603" s="94"/>
    </row>
    <row r="604" spans="1:5" ht="16" x14ac:dyDescent="0.45">
      <c r="A604" s="94"/>
      <c r="B604" s="94"/>
      <c r="C604" s="94"/>
      <c r="D604" s="94"/>
      <c r="E604" s="94"/>
    </row>
    <row r="605" spans="1:5" ht="16" x14ac:dyDescent="0.45">
      <c r="A605" s="94"/>
      <c r="B605" s="94"/>
      <c r="C605" s="94"/>
      <c r="D605" s="94"/>
      <c r="E605" s="94"/>
    </row>
    <row r="606" spans="1:5" ht="16" x14ac:dyDescent="0.45">
      <c r="A606" s="94"/>
      <c r="B606" s="94"/>
      <c r="C606" s="94"/>
      <c r="D606" s="94"/>
      <c r="E606" s="94"/>
    </row>
    <row r="607" spans="1:5" ht="16" x14ac:dyDescent="0.45">
      <c r="A607" s="94"/>
      <c r="B607" s="94"/>
      <c r="C607" s="94"/>
      <c r="D607" s="94"/>
      <c r="E607" s="94"/>
    </row>
    <row r="608" spans="1:5" ht="16" x14ac:dyDescent="0.45">
      <c r="A608" s="94"/>
      <c r="B608" s="94"/>
      <c r="C608" s="94"/>
      <c r="D608" s="94"/>
      <c r="E608" s="94"/>
    </row>
    <row r="609" spans="1:5" ht="16" x14ac:dyDescent="0.45">
      <c r="A609" s="94"/>
      <c r="B609" s="94"/>
      <c r="C609" s="94"/>
      <c r="D609" s="94"/>
      <c r="E609" s="94"/>
    </row>
    <row r="610" spans="1:5" ht="16" x14ac:dyDescent="0.45">
      <c r="A610" s="94"/>
      <c r="B610" s="94"/>
      <c r="C610" s="94"/>
      <c r="D610" s="94"/>
      <c r="E610" s="94"/>
    </row>
    <row r="611" spans="1:5" ht="16" x14ac:dyDescent="0.45">
      <c r="A611" s="94"/>
      <c r="B611" s="94"/>
      <c r="C611" s="94"/>
      <c r="D611" s="94"/>
      <c r="E611" s="94"/>
    </row>
    <row r="612" spans="1:5" ht="16" x14ac:dyDescent="0.45">
      <c r="A612" s="94"/>
      <c r="B612" s="94"/>
      <c r="C612" s="94"/>
      <c r="D612" s="94"/>
      <c r="E612" s="94"/>
    </row>
    <row r="613" spans="1:5" ht="16" x14ac:dyDescent="0.45">
      <c r="A613" s="94"/>
      <c r="B613" s="94"/>
      <c r="C613" s="94"/>
      <c r="D613" s="94"/>
      <c r="E613" s="94"/>
    </row>
    <row r="614" spans="1:5" ht="16" x14ac:dyDescent="0.45">
      <c r="A614" s="94"/>
      <c r="B614" s="94"/>
      <c r="C614" s="94"/>
      <c r="D614" s="94"/>
      <c r="E614" s="94"/>
    </row>
    <row r="615" spans="1:5" ht="16" x14ac:dyDescent="0.45">
      <c r="A615" s="94"/>
      <c r="B615" s="94"/>
      <c r="C615" s="94"/>
      <c r="D615" s="94"/>
      <c r="E615" s="94"/>
    </row>
    <row r="616" spans="1:5" ht="16" x14ac:dyDescent="0.45">
      <c r="A616" s="94"/>
      <c r="B616" s="94"/>
      <c r="C616" s="94"/>
      <c r="D616" s="94"/>
      <c r="E616" s="94"/>
    </row>
    <row r="617" spans="1:5" ht="16" x14ac:dyDescent="0.45">
      <c r="A617" s="94"/>
      <c r="B617" s="94"/>
      <c r="C617" s="94"/>
      <c r="D617" s="94"/>
      <c r="E617" s="94"/>
    </row>
    <row r="618" spans="1:5" ht="16" x14ac:dyDescent="0.45">
      <c r="A618" s="94"/>
      <c r="B618" s="94"/>
      <c r="C618" s="94"/>
      <c r="D618" s="94"/>
      <c r="E618" s="94"/>
    </row>
    <row r="619" spans="1:5" ht="16" x14ac:dyDescent="0.45">
      <c r="A619" s="94"/>
      <c r="B619" s="94"/>
      <c r="C619" s="94"/>
      <c r="D619" s="94"/>
      <c r="E619" s="94"/>
    </row>
    <row r="620" spans="1:5" ht="16" x14ac:dyDescent="0.45">
      <c r="A620" s="94"/>
      <c r="B620" s="94"/>
      <c r="C620" s="94"/>
      <c r="D620" s="94"/>
      <c r="E620" s="94"/>
    </row>
    <row r="621" spans="1:5" ht="16" x14ac:dyDescent="0.45">
      <c r="A621" s="94"/>
      <c r="B621" s="94"/>
      <c r="C621" s="94"/>
      <c r="D621" s="94"/>
      <c r="E621" s="94"/>
    </row>
    <row r="622" spans="1:5" ht="16" x14ac:dyDescent="0.45">
      <c r="A622" s="94"/>
      <c r="B622" s="94"/>
      <c r="C622" s="94"/>
      <c r="D622" s="94"/>
      <c r="E622" s="94"/>
    </row>
    <row r="623" spans="1:5" ht="16" x14ac:dyDescent="0.45">
      <c r="A623" s="94"/>
      <c r="B623" s="94"/>
      <c r="C623" s="94"/>
      <c r="D623" s="94"/>
      <c r="E623" s="94"/>
    </row>
    <row r="624" spans="1:5" ht="16" x14ac:dyDescent="0.45">
      <c r="A624" s="94"/>
      <c r="B624" s="94"/>
      <c r="C624" s="94"/>
      <c r="D624" s="94"/>
      <c r="E624" s="94"/>
    </row>
    <row r="625" spans="1:5" ht="16" x14ac:dyDescent="0.45">
      <c r="A625" s="94"/>
      <c r="B625" s="94"/>
      <c r="C625" s="94"/>
      <c r="D625" s="94"/>
      <c r="E625" s="94"/>
    </row>
    <row r="626" spans="1:5" ht="16" x14ac:dyDescent="0.45">
      <c r="A626" s="94"/>
      <c r="B626" s="94"/>
      <c r="C626" s="94"/>
      <c r="D626" s="94"/>
      <c r="E626" s="94"/>
    </row>
    <row r="627" spans="1:5" ht="16" x14ac:dyDescent="0.45">
      <c r="A627" s="94"/>
      <c r="B627" s="94"/>
      <c r="C627" s="94"/>
      <c r="D627" s="94"/>
      <c r="E627" s="94"/>
    </row>
    <row r="628" spans="1:5" ht="16" x14ac:dyDescent="0.45">
      <c r="A628" s="94"/>
      <c r="B628" s="94"/>
      <c r="C628" s="94"/>
      <c r="D628" s="94"/>
      <c r="E628" s="94"/>
    </row>
    <row r="629" spans="1:5" ht="16" x14ac:dyDescent="0.45">
      <c r="A629" s="94"/>
      <c r="B629" s="94"/>
      <c r="C629" s="94"/>
      <c r="D629" s="94"/>
      <c r="E629" s="94"/>
    </row>
    <row r="630" spans="1:5" ht="16" x14ac:dyDescent="0.45">
      <c r="A630" s="94"/>
      <c r="B630" s="94"/>
      <c r="C630" s="94"/>
      <c r="D630" s="94"/>
      <c r="E630" s="94"/>
    </row>
    <row r="631" spans="1:5" ht="16" x14ac:dyDescent="0.45">
      <c r="A631" s="94"/>
      <c r="B631" s="94"/>
      <c r="C631" s="94"/>
      <c r="D631" s="94"/>
      <c r="E631" s="94"/>
    </row>
    <row r="632" spans="1:5" ht="16" x14ac:dyDescent="0.45">
      <c r="A632" s="94"/>
      <c r="B632" s="94"/>
      <c r="C632" s="94"/>
      <c r="D632" s="94"/>
      <c r="E632" s="94"/>
    </row>
    <row r="633" spans="1:5" ht="16" x14ac:dyDescent="0.45">
      <c r="A633" s="94"/>
      <c r="B633" s="94"/>
      <c r="C633" s="94"/>
      <c r="D633" s="94"/>
      <c r="E633" s="94"/>
    </row>
    <row r="634" spans="1:5" ht="16" x14ac:dyDescent="0.45">
      <c r="A634" s="94"/>
      <c r="B634" s="94"/>
      <c r="C634" s="94"/>
      <c r="D634" s="94"/>
      <c r="E634" s="94"/>
    </row>
    <row r="635" spans="1:5" ht="16" x14ac:dyDescent="0.45">
      <c r="A635" s="94"/>
      <c r="B635" s="94"/>
      <c r="C635" s="94"/>
      <c r="D635" s="94"/>
      <c r="E635" s="94"/>
    </row>
    <row r="636" spans="1:5" ht="16" x14ac:dyDescent="0.45">
      <c r="A636" s="94"/>
      <c r="B636" s="94"/>
      <c r="C636" s="94"/>
      <c r="D636" s="94"/>
      <c r="E636" s="94"/>
    </row>
    <row r="637" spans="1:5" ht="16" x14ac:dyDescent="0.45">
      <c r="A637" s="94"/>
      <c r="B637" s="94"/>
      <c r="C637" s="94"/>
      <c r="D637" s="94"/>
      <c r="E637" s="94"/>
    </row>
    <row r="638" spans="1:5" ht="16" x14ac:dyDescent="0.45">
      <c r="A638" s="94"/>
      <c r="B638" s="94"/>
      <c r="C638" s="94"/>
      <c r="D638" s="94"/>
      <c r="E638" s="94"/>
    </row>
    <row r="639" spans="1:5" ht="16" x14ac:dyDescent="0.45">
      <c r="A639" s="94"/>
      <c r="B639" s="94"/>
      <c r="C639" s="94"/>
      <c r="D639" s="94"/>
      <c r="E639" s="94"/>
    </row>
    <row r="640" spans="1:5" ht="16" x14ac:dyDescent="0.45">
      <c r="A640" s="94"/>
      <c r="B640" s="94"/>
      <c r="C640" s="94"/>
      <c r="D640" s="94"/>
      <c r="E640" s="94"/>
    </row>
    <row r="641" spans="1:5" ht="16" x14ac:dyDescent="0.45">
      <c r="A641" s="94"/>
      <c r="B641" s="94"/>
      <c r="C641" s="94"/>
      <c r="D641" s="94"/>
      <c r="E641" s="94"/>
    </row>
    <row r="642" spans="1:5" ht="16" x14ac:dyDescent="0.45">
      <c r="A642" s="94"/>
      <c r="B642" s="94"/>
      <c r="C642" s="94"/>
      <c r="D642" s="94"/>
      <c r="E642" s="94"/>
    </row>
    <row r="643" spans="1:5" ht="16" x14ac:dyDescent="0.45">
      <c r="A643" s="94"/>
      <c r="B643" s="94"/>
      <c r="C643" s="94"/>
      <c r="D643" s="94"/>
      <c r="E643" s="94"/>
    </row>
    <row r="644" spans="1:5" ht="16" x14ac:dyDescent="0.45">
      <c r="A644" s="94"/>
      <c r="B644" s="94"/>
      <c r="C644" s="94"/>
      <c r="D644" s="94"/>
      <c r="E644" s="94"/>
    </row>
    <row r="645" spans="1:5" ht="16" x14ac:dyDescent="0.45">
      <c r="A645" s="94"/>
      <c r="B645" s="94"/>
      <c r="C645" s="94"/>
      <c r="D645" s="94"/>
      <c r="E645" s="94"/>
    </row>
    <row r="646" spans="1:5" ht="16" x14ac:dyDescent="0.45">
      <c r="A646" s="94"/>
      <c r="B646" s="94"/>
      <c r="C646" s="94"/>
      <c r="D646" s="94"/>
      <c r="E646" s="94"/>
    </row>
    <row r="647" spans="1:5" ht="16" x14ac:dyDescent="0.45">
      <c r="A647" s="94"/>
      <c r="B647" s="94"/>
      <c r="C647" s="94"/>
      <c r="D647" s="94"/>
      <c r="E647" s="94"/>
    </row>
    <row r="648" spans="1:5" ht="16" x14ac:dyDescent="0.45">
      <c r="A648" s="94"/>
      <c r="B648" s="94"/>
      <c r="C648" s="94"/>
      <c r="D648" s="94"/>
      <c r="E648" s="94"/>
    </row>
    <row r="649" spans="1:5" ht="16" x14ac:dyDescent="0.45">
      <c r="A649" s="94"/>
      <c r="B649" s="94"/>
      <c r="C649" s="94"/>
      <c r="D649" s="94"/>
      <c r="E649" s="94"/>
    </row>
    <row r="650" spans="1:5" ht="16" x14ac:dyDescent="0.45">
      <c r="A650" s="94"/>
      <c r="B650" s="94"/>
      <c r="C650" s="94"/>
      <c r="D650" s="94"/>
      <c r="E650" s="94"/>
    </row>
    <row r="651" spans="1:5" ht="16" x14ac:dyDescent="0.45">
      <c r="A651" s="94"/>
      <c r="B651" s="94"/>
      <c r="C651" s="94"/>
      <c r="D651" s="94"/>
      <c r="E651" s="94"/>
    </row>
    <row r="652" spans="1:5" ht="16" x14ac:dyDescent="0.45">
      <c r="A652" s="94"/>
      <c r="B652" s="94"/>
      <c r="C652" s="94"/>
      <c r="D652" s="94"/>
      <c r="E652" s="94"/>
    </row>
    <row r="653" spans="1:5" ht="16" x14ac:dyDescent="0.45">
      <c r="A653" s="94"/>
      <c r="B653" s="94"/>
      <c r="C653" s="94"/>
      <c r="D653" s="94"/>
      <c r="E653" s="94"/>
    </row>
    <row r="654" spans="1:5" ht="16" x14ac:dyDescent="0.45">
      <c r="A654" s="94"/>
      <c r="B654" s="94"/>
      <c r="C654" s="94"/>
      <c r="D654" s="94"/>
      <c r="E654" s="94"/>
    </row>
    <row r="655" spans="1:5" ht="16" x14ac:dyDescent="0.45">
      <c r="A655" s="94"/>
      <c r="B655" s="94"/>
      <c r="C655" s="94"/>
      <c r="D655" s="94"/>
      <c r="E655" s="94"/>
    </row>
    <row r="656" spans="1:5" ht="16" x14ac:dyDescent="0.45">
      <c r="A656" s="94"/>
      <c r="B656" s="94"/>
      <c r="C656" s="94"/>
      <c r="D656" s="94"/>
      <c r="E656" s="94"/>
    </row>
    <row r="657" spans="1:5" ht="16" x14ac:dyDescent="0.45">
      <c r="A657" s="94"/>
      <c r="B657" s="94"/>
      <c r="C657" s="94"/>
      <c r="D657" s="94"/>
      <c r="E657" s="94"/>
    </row>
    <row r="658" spans="1:5" ht="16" x14ac:dyDescent="0.45">
      <c r="A658" s="94"/>
      <c r="B658" s="94"/>
      <c r="C658" s="94"/>
      <c r="D658" s="94"/>
      <c r="E658" s="94"/>
    </row>
    <row r="659" spans="1:5" ht="16" x14ac:dyDescent="0.45">
      <c r="A659" s="94"/>
      <c r="B659" s="94"/>
      <c r="C659" s="94"/>
      <c r="D659" s="94"/>
      <c r="E659" s="94"/>
    </row>
    <row r="660" spans="1:5" ht="16" x14ac:dyDescent="0.45">
      <c r="A660" s="94"/>
      <c r="B660" s="94"/>
      <c r="C660" s="94"/>
      <c r="D660" s="94"/>
      <c r="E660" s="94"/>
    </row>
    <row r="661" spans="1:5" ht="16" x14ac:dyDescent="0.45">
      <c r="A661" s="94"/>
      <c r="B661" s="94"/>
      <c r="C661" s="94"/>
      <c r="D661" s="94"/>
      <c r="E661" s="94"/>
    </row>
    <row r="662" spans="1:5" ht="16" x14ac:dyDescent="0.45">
      <c r="A662" s="94"/>
      <c r="B662" s="94"/>
      <c r="C662" s="94"/>
      <c r="D662" s="94"/>
      <c r="E662" s="94"/>
    </row>
    <row r="663" spans="1:5" ht="16" x14ac:dyDescent="0.45">
      <c r="A663" s="94"/>
      <c r="B663" s="94"/>
      <c r="C663" s="94"/>
      <c r="D663" s="94"/>
      <c r="E663" s="94"/>
    </row>
    <row r="664" spans="1:5" ht="16" x14ac:dyDescent="0.45">
      <c r="A664" s="94"/>
      <c r="B664" s="94"/>
      <c r="C664" s="94"/>
      <c r="D664" s="94"/>
      <c r="E664" s="94"/>
    </row>
    <row r="667" spans="1:5" x14ac:dyDescent="0.35">
      <c r="A667" s="1"/>
      <c r="B667" s="2"/>
      <c r="C667" s="3"/>
      <c r="D667" s="4" t="s">
        <v>0</v>
      </c>
      <c r="E667" s="5" t="s">
        <v>95</v>
      </c>
    </row>
    <row r="668" spans="1:5" ht="15.5" x14ac:dyDescent="0.35">
      <c r="A668" s="6" t="s">
        <v>1</v>
      </c>
      <c r="B668" s="7"/>
      <c r="C668" s="3"/>
      <c r="D668" s="4" t="s">
        <v>2</v>
      </c>
      <c r="E668" s="8">
        <v>45323</v>
      </c>
    </row>
    <row r="669" spans="1:5" x14ac:dyDescent="0.35">
      <c r="A669" s="9" t="s">
        <v>3</v>
      </c>
      <c r="B669" s="10"/>
      <c r="C669" s="3"/>
      <c r="D669" s="278" t="s">
        <v>4</v>
      </c>
      <c r="E669" s="278"/>
    </row>
    <row r="670" spans="1:5" x14ac:dyDescent="0.35">
      <c r="A670" s="9" t="s">
        <v>5</v>
      </c>
      <c r="B670" s="10"/>
      <c r="C670" s="3"/>
      <c r="D670" s="279" t="s">
        <v>6</v>
      </c>
      <c r="E670" s="280"/>
    </row>
    <row r="671" spans="1:5" x14ac:dyDescent="0.35">
      <c r="A671" s="9" t="s">
        <v>7</v>
      </c>
      <c r="B671" s="10"/>
      <c r="C671" s="3"/>
      <c r="D671" s="281" t="s">
        <v>8</v>
      </c>
      <c r="E671" s="281"/>
    </row>
    <row r="672" spans="1:5" x14ac:dyDescent="0.35">
      <c r="A672" s="9" t="s">
        <v>9</v>
      </c>
      <c r="B672" s="10"/>
      <c r="D672" s="282" t="s">
        <v>10</v>
      </c>
      <c r="E672" s="283"/>
    </row>
    <row r="673" spans="1:5" x14ac:dyDescent="0.35">
      <c r="A673" s="11" t="s">
        <v>11</v>
      </c>
      <c r="B673" s="12"/>
      <c r="C673" s="3"/>
      <c r="D673" s="278" t="s">
        <v>12</v>
      </c>
      <c r="E673" s="278"/>
    </row>
    <row r="674" spans="1:5" x14ac:dyDescent="0.35">
      <c r="A674" s="13"/>
      <c r="B674" s="13"/>
      <c r="C674" s="3"/>
      <c r="D674" s="14"/>
      <c r="E674" s="14"/>
    </row>
    <row r="675" spans="1:5" x14ac:dyDescent="0.35">
      <c r="A675" s="284" t="s">
        <v>13</v>
      </c>
      <c r="B675" s="284"/>
      <c r="C675" s="3"/>
      <c r="D675" s="3"/>
      <c r="E675" s="15"/>
    </row>
    <row r="676" spans="1:5" x14ac:dyDescent="0.35">
      <c r="A676" s="16" t="s">
        <v>14</v>
      </c>
      <c r="B676" s="225" t="s">
        <v>15</v>
      </c>
      <c r="C676" s="226"/>
      <c r="D676" s="226"/>
      <c r="E676" s="17" t="s">
        <v>16</v>
      </c>
    </row>
    <row r="677" spans="1:5" x14ac:dyDescent="0.35">
      <c r="A677" s="270">
        <v>1</v>
      </c>
      <c r="B677" s="19" t="s">
        <v>17</v>
      </c>
      <c r="C677" s="20"/>
      <c r="D677" s="20"/>
      <c r="E677" s="21">
        <v>800000</v>
      </c>
    </row>
    <row r="678" spans="1:5" x14ac:dyDescent="0.35">
      <c r="A678" s="271"/>
      <c r="B678" s="22" t="s">
        <v>18</v>
      </c>
      <c r="C678" s="23">
        <v>21</v>
      </c>
      <c r="D678" s="24"/>
      <c r="E678" s="25"/>
    </row>
    <row r="679" spans="1:5" ht="15" x14ac:dyDescent="0.4">
      <c r="A679" s="271"/>
      <c r="B679" s="22" t="s">
        <v>19</v>
      </c>
      <c r="C679" s="26">
        <v>3790</v>
      </c>
      <c r="D679" s="27" t="s">
        <v>20</v>
      </c>
      <c r="E679" s="25"/>
    </row>
    <row r="680" spans="1:5" x14ac:dyDescent="0.35">
      <c r="A680" s="271"/>
      <c r="B680" s="22" t="s">
        <v>21</v>
      </c>
      <c r="C680" s="23">
        <f>C679-C678</f>
        <v>3769</v>
      </c>
      <c r="D680" s="27"/>
      <c r="E680" s="25"/>
    </row>
    <row r="681" spans="1:5" ht="15" x14ac:dyDescent="0.4">
      <c r="A681" s="271"/>
      <c r="B681" s="22" t="s">
        <v>22</v>
      </c>
      <c r="C681" s="26">
        <v>2000</v>
      </c>
      <c r="D681" s="27" t="s">
        <v>20</v>
      </c>
      <c r="E681" s="25"/>
    </row>
    <row r="682" spans="1:5" x14ac:dyDescent="0.35">
      <c r="A682" s="28"/>
      <c r="B682" s="22" t="s">
        <v>21</v>
      </c>
      <c r="C682" s="23">
        <f>+C680-C681</f>
        <v>1769</v>
      </c>
      <c r="D682" s="27"/>
      <c r="E682" s="25"/>
    </row>
    <row r="683" spans="1:5" x14ac:dyDescent="0.35">
      <c r="A683" s="29">
        <v>2</v>
      </c>
      <c r="B683" s="30" t="s">
        <v>23</v>
      </c>
      <c r="C683" s="31" t="s">
        <v>24</v>
      </c>
      <c r="D683" s="32">
        <v>90</v>
      </c>
      <c r="E683" s="33">
        <f>(C682*D683)</f>
        <v>159210</v>
      </c>
    </row>
    <row r="684" spans="1:5" x14ac:dyDescent="0.35">
      <c r="A684" s="34"/>
      <c r="B684" s="34"/>
      <c r="C684" s="34"/>
      <c r="D684" s="35" t="s">
        <v>25</v>
      </c>
      <c r="E684" s="17">
        <f>E677+E683</f>
        <v>959210</v>
      </c>
    </row>
    <row r="685" spans="1:5" ht="17" x14ac:dyDescent="0.4">
      <c r="A685" s="36" t="s">
        <v>26</v>
      </c>
      <c r="B685" s="37"/>
      <c r="C685" s="34"/>
      <c r="D685" s="35" t="s">
        <v>27</v>
      </c>
      <c r="E685" s="38">
        <v>0</v>
      </c>
    </row>
    <row r="686" spans="1:5" ht="17" x14ac:dyDescent="0.4">
      <c r="A686" s="39" t="s">
        <v>28</v>
      </c>
      <c r="B686" s="40"/>
      <c r="C686" s="41"/>
      <c r="D686" s="35" t="s">
        <v>29</v>
      </c>
      <c r="E686" s="42">
        <f>(E684+E685)</f>
        <v>959210</v>
      </c>
    </row>
    <row r="687" spans="1:5" x14ac:dyDescent="0.35">
      <c r="A687" s="39" t="s">
        <v>30</v>
      </c>
      <c r="B687" s="40"/>
      <c r="C687" s="3"/>
      <c r="D687" s="3"/>
      <c r="E687" s="15"/>
    </row>
    <row r="688" spans="1:5" x14ac:dyDescent="0.35">
      <c r="A688" s="43" t="s">
        <v>31</v>
      </c>
      <c r="B688" s="44"/>
      <c r="C688" s="3"/>
      <c r="D688" s="3"/>
      <c r="E688" s="15"/>
    </row>
    <row r="689" spans="1:5" x14ac:dyDescent="0.35">
      <c r="A689" s="45" t="s">
        <v>32</v>
      </c>
      <c r="B689" s="46"/>
      <c r="C689" s="3"/>
      <c r="D689" s="3"/>
      <c r="E689" s="47"/>
    </row>
    <row r="690" spans="1:5" x14ac:dyDescent="0.35">
      <c r="A690" s="48"/>
      <c r="B690" s="49"/>
      <c r="C690" s="3"/>
      <c r="D690" s="3"/>
      <c r="E690" s="47"/>
    </row>
    <row r="691" spans="1:5" x14ac:dyDescent="0.35">
      <c r="A691" s="211" t="s">
        <v>33</v>
      </c>
      <c r="B691" s="211"/>
      <c r="C691" s="211" t="s">
        <v>1</v>
      </c>
      <c r="D691" s="211"/>
      <c r="E691" s="211"/>
    </row>
    <row r="695" spans="1:5" x14ac:dyDescent="0.35">
      <c r="A695" s="212" t="s">
        <v>34</v>
      </c>
      <c r="B695" s="212"/>
      <c r="C695" s="277" t="s">
        <v>35</v>
      </c>
      <c r="D695" s="277"/>
      <c r="E695" s="277"/>
    </row>
    <row r="696" spans="1:5" x14ac:dyDescent="0.35">
      <c r="D696" s="51" t="s">
        <v>36</v>
      </c>
      <c r="E696" s="51"/>
    </row>
  </sheetData>
  <mergeCells count="252">
    <mergeCell ref="A7:B7"/>
    <mergeCell ref="D7:E7"/>
    <mergeCell ref="A10:E10"/>
    <mergeCell ref="A12:B12"/>
    <mergeCell ref="B13:D13"/>
    <mergeCell ref="A14:A18"/>
    <mergeCell ref="A28:B28"/>
    <mergeCell ref="C28:E28"/>
    <mergeCell ref="A32:B32"/>
    <mergeCell ref="C32:E32"/>
    <mergeCell ref="A1:B2"/>
    <mergeCell ref="A3:B3"/>
    <mergeCell ref="D3:E3"/>
    <mergeCell ref="A4:B4"/>
    <mergeCell ref="D4:E4"/>
    <mergeCell ref="A5:B5"/>
    <mergeCell ref="D5:E5"/>
    <mergeCell ref="A6:B6"/>
    <mergeCell ref="D6:E6"/>
    <mergeCell ref="A41:B41"/>
    <mergeCell ref="D41:E41"/>
    <mergeCell ref="A44:E44"/>
    <mergeCell ref="A46:B46"/>
    <mergeCell ref="B47:D47"/>
    <mergeCell ref="A48:A52"/>
    <mergeCell ref="A62:B62"/>
    <mergeCell ref="C62:E62"/>
    <mergeCell ref="A66:B66"/>
    <mergeCell ref="C66:E66"/>
    <mergeCell ref="A35:B36"/>
    <mergeCell ref="A37:B37"/>
    <mergeCell ref="D37:E37"/>
    <mergeCell ref="A38:B38"/>
    <mergeCell ref="D38:E38"/>
    <mergeCell ref="A39:B39"/>
    <mergeCell ref="D39:E39"/>
    <mergeCell ref="A40:B40"/>
    <mergeCell ref="D40:E40"/>
    <mergeCell ref="A109:B109"/>
    <mergeCell ref="D109:E109"/>
    <mergeCell ref="A112:E112"/>
    <mergeCell ref="A114:B114"/>
    <mergeCell ref="B115:D115"/>
    <mergeCell ref="A116:A120"/>
    <mergeCell ref="A130:B130"/>
    <mergeCell ref="C130:E130"/>
    <mergeCell ref="A134:B134"/>
    <mergeCell ref="C134:E134"/>
    <mergeCell ref="A103:B104"/>
    <mergeCell ref="A105:B105"/>
    <mergeCell ref="D105:E105"/>
    <mergeCell ref="A106:B106"/>
    <mergeCell ref="D106:E106"/>
    <mergeCell ref="A107:B107"/>
    <mergeCell ref="D107:E107"/>
    <mergeCell ref="A108:B108"/>
    <mergeCell ref="D108:E108"/>
    <mergeCell ref="A211:B211"/>
    <mergeCell ref="D211:E211"/>
    <mergeCell ref="A213:B213"/>
    <mergeCell ref="B214:D214"/>
    <mergeCell ref="A215:A219"/>
    <mergeCell ref="A229:B229"/>
    <mergeCell ref="C229:E229"/>
    <mergeCell ref="A233:B233"/>
    <mergeCell ref="C233:E233"/>
    <mergeCell ref="A205:B206"/>
    <mergeCell ref="A207:B207"/>
    <mergeCell ref="D207:E207"/>
    <mergeCell ref="A208:B208"/>
    <mergeCell ref="D208:E208"/>
    <mergeCell ref="A209:B209"/>
    <mergeCell ref="D209:E209"/>
    <mergeCell ref="A210:B210"/>
    <mergeCell ref="D210:E210"/>
    <mergeCell ref="A242:B242"/>
    <mergeCell ref="D242:E242"/>
    <mergeCell ref="A244:B244"/>
    <mergeCell ref="B245:D245"/>
    <mergeCell ref="A246:A250"/>
    <mergeCell ref="A260:B260"/>
    <mergeCell ref="C260:E260"/>
    <mergeCell ref="A264:B264"/>
    <mergeCell ref="C264:E264"/>
    <mergeCell ref="A236:B237"/>
    <mergeCell ref="A238:B238"/>
    <mergeCell ref="D238:E238"/>
    <mergeCell ref="A239:B239"/>
    <mergeCell ref="D239:E239"/>
    <mergeCell ref="A240:B240"/>
    <mergeCell ref="D240:E240"/>
    <mergeCell ref="A241:B241"/>
    <mergeCell ref="D241:E241"/>
    <mergeCell ref="C295:E295"/>
    <mergeCell ref="A275:B275"/>
    <mergeCell ref="B276:D276"/>
    <mergeCell ref="A277:A281"/>
    <mergeCell ref="A291:B291"/>
    <mergeCell ref="C291:E291"/>
    <mergeCell ref="A271:B271"/>
    <mergeCell ref="D271:E271"/>
    <mergeCell ref="A272:B272"/>
    <mergeCell ref="D272:E272"/>
    <mergeCell ref="A273:B273"/>
    <mergeCell ref="D273:E273"/>
    <mergeCell ref="A267:B268"/>
    <mergeCell ref="A269:B269"/>
    <mergeCell ref="D269:E269"/>
    <mergeCell ref="A270:B270"/>
    <mergeCell ref="D270:E270"/>
    <mergeCell ref="A326:B326"/>
    <mergeCell ref="C326:E326"/>
    <mergeCell ref="A306:B306"/>
    <mergeCell ref="B307:D307"/>
    <mergeCell ref="A308:A312"/>
    <mergeCell ref="A322:B322"/>
    <mergeCell ref="C322:E322"/>
    <mergeCell ref="A302:B302"/>
    <mergeCell ref="D302:E302"/>
    <mergeCell ref="A303:B303"/>
    <mergeCell ref="D303:E303"/>
    <mergeCell ref="A304:B304"/>
    <mergeCell ref="D304:E304"/>
    <mergeCell ref="A298:B299"/>
    <mergeCell ref="A300:B300"/>
    <mergeCell ref="D300:E300"/>
    <mergeCell ref="A301:B301"/>
    <mergeCell ref="D301:E301"/>
    <mergeCell ref="A295:B295"/>
    <mergeCell ref="A695:B695"/>
    <mergeCell ref="C695:E695"/>
    <mergeCell ref="C384:E384"/>
    <mergeCell ref="A388:B388"/>
    <mergeCell ref="C388:E388"/>
    <mergeCell ref="D669:E669"/>
    <mergeCell ref="D670:E670"/>
    <mergeCell ref="D671:E671"/>
    <mergeCell ref="D672:E672"/>
    <mergeCell ref="D673:E673"/>
    <mergeCell ref="A675:B675"/>
    <mergeCell ref="B676:D676"/>
    <mergeCell ref="A677:A681"/>
    <mergeCell ref="A691:B691"/>
    <mergeCell ref="C691:E691"/>
    <mergeCell ref="D394:E394"/>
    <mergeCell ref="A395:B395"/>
    <mergeCell ref="D395:E395"/>
    <mergeCell ref="A420:B420"/>
    <mergeCell ref="C420:E420"/>
    <mergeCell ref="A392:B393"/>
    <mergeCell ref="A400:B400"/>
    <mergeCell ref="B401:D401"/>
    <mergeCell ref="A402:A406"/>
    <mergeCell ref="A329:B330"/>
    <mergeCell ref="A331:B331"/>
    <mergeCell ref="D331:E331"/>
    <mergeCell ref="A332:B332"/>
    <mergeCell ref="D332:E332"/>
    <mergeCell ref="A366:B366"/>
    <mergeCell ref="A357:B357"/>
    <mergeCell ref="C357:E357"/>
    <mergeCell ref="A337:B337"/>
    <mergeCell ref="B338:D338"/>
    <mergeCell ref="A339:A343"/>
    <mergeCell ref="A353:B353"/>
    <mergeCell ref="C353:E353"/>
    <mergeCell ref="A333:B333"/>
    <mergeCell ref="D333:E333"/>
    <mergeCell ref="A334:B334"/>
    <mergeCell ref="D334:E334"/>
    <mergeCell ref="A335:B335"/>
    <mergeCell ref="D335:E335"/>
    <mergeCell ref="A360:B361"/>
    <mergeCell ref="A362:B362"/>
    <mergeCell ref="A363:B363"/>
    <mergeCell ref="A364:B364"/>
    <mergeCell ref="D362:E362"/>
    <mergeCell ref="A416:B416"/>
    <mergeCell ref="C416:E416"/>
    <mergeCell ref="A396:B396"/>
    <mergeCell ref="D396:E396"/>
    <mergeCell ref="A397:B397"/>
    <mergeCell ref="D397:E397"/>
    <mergeCell ref="A398:B398"/>
    <mergeCell ref="D398:E398"/>
    <mergeCell ref="A394:B394"/>
    <mergeCell ref="D363:E363"/>
    <mergeCell ref="D364:E364"/>
    <mergeCell ref="D365:E365"/>
    <mergeCell ref="A384:B384"/>
    <mergeCell ref="D366:E366"/>
    <mergeCell ref="A368:B368"/>
    <mergeCell ref="B369:D369"/>
    <mergeCell ref="A370:A374"/>
    <mergeCell ref="A365:B365"/>
    <mergeCell ref="A171:B172"/>
    <mergeCell ref="A173:B173"/>
    <mergeCell ref="D173:E173"/>
    <mergeCell ref="A174:B174"/>
    <mergeCell ref="D174:E174"/>
    <mergeCell ref="A175:B175"/>
    <mergeCell ref="D175:E175"/>
    <mergeCell ref="A176:B176"/>
    <mergeCell ref="D176:E176"/>
    <mergeCell ref="A177:B177"/>
    <mergeCell ref="D177:E177"/>
    <mergeCell ref="A182:B182"/>
    <mergeCell ref="B183:D183"/>
    <mergeCell ref="A184:A188"/>
    <mergeCell ref="A198:B198"/>
    <mergeCell ref="C198:E198"/>
    <mergeCell ref="A202:B202"/>
    <mergeCell ref="C202:E202"/>
    <mergeCell ref="A180:E180"/>
    <mergeCell ref="A137:B138"/>
    <mergeCell ref="A139:B139"/>
    <mergeCell ref="D139:E139"/>
    <mergeCell ref="A140:B140"/>
    <mergeCell ref="D140:E140"/>
    <mergeCell ref="A141:B141"/>
    <mergeCell ref="D141:E141"/>
    <mergeCell ref="A142:B142"/>
    <mergeCell ref="D142:E142"/>
    <mergeCell ref="A143:B143"/>
    <mergeCell ref="D143:E143"/>
    <mergeCell ref="A146:E146"/>
    <mergeCell ref="A148:B148"/>
    <mergeCell ref="B149:D149"/>
    <mergeCell ref="A150:A154"/>
    <mergeCell ref="A164:B164"/>
    <mergeCell ref="C164:E164"/>
    <mergeCell ref="A168:B168"/>
    <mergeCell ref="C168:E168"/>
    <mergeCell ref="A69:B70"/>
    <mergeCell ref="A71:B71"/>
    <mergeCell ref="D71:E71"/>
    <mergeCell ref="A72:B72"/>
    <mergeCell ref="D72:E72"/>
    <mergeCell ref="A73:B73"/>
    <mergeCell ref="D73:E73"/>
    <mergeCell ref="A74:B74"/>
    <mergeCell ref="D74:E74"/>
    <mergeCell ref="A75:B75"/>
    <mergeCell ref="D75:E75"/>
    <mergeCell ref="A78:E78"/>
    <mergeCell ref="A80:B80"/>
    <mergeCell ref="B81:D81"/>
    <mergeCell ref="A82:A86"/>
    <mergeCell ref="A96:B96"/>
    <mergeCell ref="C96:E96"/>
    <mergeCell ref="A100:B100"/>
    <mergeCell ref="C100:E100"/>
  </mergeCells>
  <hyperlinks>
    <hyperlink ref="A397" r:id="rId1" xr:uid="{CBF10198-E712-4B35-91F4-65E4C7FBEA9E}"/>
    <hyperlink ref="A365" r:id="rId2" display="www.biasbst.com" xr:uid="{E152BBD1-816B-49CD-A437-978CD9ED5457}"/>
    <hyperlink ref="A366" r:id="rId3" xr:uid="{75122271-99B8-4E39-A611-3D50359A6972}"/>
    <hyperlink ref="A334" r:id="rId4" display="www.biasbst.com" xr:uid="{0948A2C3-355C-4176-9EB2-FE3EB188CEF1}"/>
    <hyperlink ref="A335" r:id="rId5" xr:uid="{400B4ACA-6ACB-415A-8BD8-812A7459797B}"/>
    <hyperlink ref="A303" r:id="rId6" display="www.biasbst.com" xr:uid="{5D21B951-60E5-4975-93F6-10CE9EB1D99D}"/>
    <hyperlink ref="A304" r:id="rId7" xr:uid="{DF306724-8AAA-4BC5-AD01-24E6849C7E0B}"/>
    <hyperlink ref="A272" r:id="rId8" display="www.biasbst.com" xr:uid="{C69B9EB2-6F1D-4CBA-A0FE-A8838FED8CD4}"/>
    <hyperlink ref="A273" r:id="rId9" xr:uid="{24C64FFB-A134-4CD5-A02C-7CEADA9F5957}"/>
    <hyperlink ref="A241" r:id="rId10" display="www.biasbst.com" xr:uid="{17A0124E-66F1-4C93-997F-4D2D4B745C8A}"/>
    <hyperlink ref="A242" r:id="rId11" xr:uid="{28DB7860-47B6-4DEE-9ACB-A1B7BF48BCD6}"/>
    <hyperlink ref="A210" r:id="rId12" display="www.biasbst.com" xr:uid="{D70578B1-B293-4502-8686-28866A54338D}"/>
    <hyperlink ref="A211" r:id="rId13" xr:uid="{3C843D7F-25A0-40B5-BFD0-F2A2322ECC9B}"/>
    <hyperlink ref="A176" r:id="rId14" display="www.biasbst.com" xr:uid="{685072AB-67F1-4C0F-B784-03E0405C0D31}"/>
    <hyperlink ref="A177" r:id="rId15" xr:uid="{633A34A1-28C9-4997-A77F-DA46FD2CFD05}"/>
    <hyperlink ref="A142" r:id="rId16" display="www.biasbst.com" xr:uid="{99F3837E-BAAC-4A14-A09C-A678CDB87819}"/>
    <hyperlink ref="A143" r:id="rId17" xr:uid="{B6C71899-B116-4C31-9B8B-296B438DB7C6}"/>
    <hyperlink ref="A108" r:id="rId18" display="www.biasbst.com" xr:uid="{A746EA7B-B50D-4485-9CFC-82588D541DD7}"/>
    <hyperlink ref="A109" r:id="rId19" xr:uid="{18C8ADE7-BBCD-402A-A27A-F12EB335CEC2}"/>
    <hyperlink ref="A74" r:id="rId20" display="www.biasbst.com" xr:uid="{6609F068-FF87-4E38-9F36-6181EE7A1A8D}"/>
    <hyperlink ref="A75" r:id="rId21" xr:uid="{8A7B8A65-2C98-46B6-B286-BFF7CBBC9DCE}"/>
    <hyperlink ref="A40" r:id="rId22" display="www.biasbst.com" xr:uid="{10F9E6BF-98D2-43C1-8772-7BECD2F1056C}"/>
    <hyperlink ref="A41" r:id="rId23" xr:uid="{EC915307-1DD6-471B-8A67-C33D35F4EB41}"/>
    <hyperlink ref="A6" r:id="rId24" display="www.biasbst.com" xr:uid="{8EDADC90-AE35-4384-93F0-26A4E36F8F43}"/>
    <hyperlink ref="A7" r:id="rId25" xr:uid="{0A60B4CA-F172-422D-842F-D4776AD51C7A}"/>
  </hyperlinks>
  <pageMargins left="0.7" right="0.7" top="0.75" bottom="0.75" header="0.3" footer="0.3"/>
  <pageSetup paperSize="9" fitToWidth="0" orientation="portrait" horizontalDpi="4294967293" verticalDpi="180" r:id="rId2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45E9-AD64-487F-B2F6-037784F9FD3A}">
  <sheetPr codeName="Sheet4"/>
  <dimension ref="A1:P444"/>
  <sheetViews>
    <sheetView tabSelected="1" topLeftCell="A10" zoomScale="83" zoomScaleNormal="83" zoomScaleSheetLayoutView="57" workbookViewId="0">
      <selection activeCell="I21" sqref="I21"/>
    </sheetView>
  </sheetViews>
  <sheetFormatPr defaultColWidth="9.1796875" defaultRowHeight="14.5" x14ac:dyDescent="0.35"/>
  <cols>
    <col min="1" max="1" width="4.1796875" customWidth="1"/>
    <col min="2" max="2" width="39.1796875" customWidth="1"/>
    <col min="3" max="3" width="7.81640625" customWidth="1"/>
    <col min="4" max="4" width="13" customWidth="1"/>
    <col min="5" max="5" width="31.1796875" style="50" customWidth="1"/>
    <col min="6" max="6" width="10.7265625" customWidth="1"/>
    <col min="9" max="9" width="15.26953125" customWidth="1"/>
  </cols>
  <sheetData>
    <row r="1" spans="1:5" ht="15.5" thickTop="1" thickBot="1" x14ac:dyDescent="0.4">
      <c r="A1" s="299" t="s">
        <v>1</v>
      </c>
      <c r="B1" s="300"/>
      <c r="C1" s="3"/>
      <c r="D1" s="96" t="s">
        <v>0</v>
      </c>
      <c r="E1" s="97" t="s">
        <v>200</v>
      </c>
    </row>
    <row r="2" spans="1:5" ht="15.5" thickTop="1" thickBot="1" x14ac:dyDescent="0.4">
      <c r="A2" s="301"/>
      <c r="B2" s="302"/>
      <c r="C2" s="3"/>
      <c r="D2" s="98" t="s">
        <v>2</v>
      </c>
      <c r="E2" s="97">
        <v>46031</v>
      </c>
    </row>
    <row r="3" spans="1:5" ht="15.5" thickTop="1" thickBot="1" x14ac:dyDescent="0.4">
      <c r="A3" s="303" t="s">
        <v>104</v>
      </c>
      <c r="B3" s="304"/>
      <c r="C3" s="3"/>
      <c r="D3" s="99" t="s">
        <v>4</v>
      </c>
      <c r="E3" s="100"/>
    </row>
    <row r="4" spans="1:5" ht="15.5" thickTop="1" thickBot="1" x14ac:dyDescent="0.4">
      <c r="A4" s="303" t="s">
        <v>77</v>
      </c>
      <c r="B4" s="304"/>
      <c r="C4" s="3"/>
      <c r="D4" s="101" t="s">
        <v>90</v>
      </c>
      <c r="E4" s="100"/>
    </row>
    <row r="5" spans="1:5" ht="24.75" customHeight="1" thickTop="1" x14ac:dyDescent="0.35">
      <c r="A5" s="303" t="s">
        <v>78</v>
      </c>
      <c r="B5" s="304"/>
      <c r="C5" s="3"/>
      <c r="D5" s="305" t="s">
        <v>86</v>
      </c>
      <c r="E5" s="306"/>
    </row>
    <row r="6" spans="1:5" ht="33" customHeight="1" thickBot="1" x14ac:dyDescent="0.4">
      <c r="A6" s="309" t="s">
        <v>11</v>
      </c>
      <c r="B6" s="310"/>
      <c r="D6" s="307"/>
      <c r="E6" s="308"/>
    </row>
    <row r="7" spans="1:5" ht="15.5" thickTop="1" thickBot="1" x14ac:dyDescent="0.4">
      <c r="A7" s="311" t="s">
        <v>79</v>
      </c>
      <c r="B7" s="312"/>
      <c r="C7" s="3"/>
      <c r="D7" s="99" t="s">
        <v>88</v>
      </c>
      <c r="E7" s="100" t="s">
        <v>89</v>
      </c>
    </row>
    <row r="8" spans="1:5" ht="15" thickTop="1" x14ac:dyDescent="0.35">
      <c r="A8" s="13"/>
      <c r="B8" s="13"/>
      <c r="C8" s="3"/>
      <c r="D8" s="14"/>
      <c r="E8" s="14"/>
    </row>
    <row r="9" spans="1:5" ht="26" customHeight="1" x14ac:dyDescent="0.55000000000000004">
      <c r="A9" s="223" t="s">
        <v>87</v>
      </c>
      <c r="B9" s="223"/>
      <c r="C9" s="223"/>
      <c r="D9" s="223"/>
      <c r="E9" s="223"/>
    </row>
    <row r="10" spans="1:5" ht="15" thickBot="1" x14ac:dyDescent="0.4">
      <c r="A10" s="224" t="s">
        <v>195</v>
      </c>
      <c r="B10" s="224"/>
      <c r="C10" s="3"/>
      <c r="D10" s="3"/>
      <c r="E10" s="15"/>
    </row>
    <row r="11" spans="1:5" ht="15.5" thickTop="1" thickBot="1" x14ac:dyDescent="0.4">
      <c r="A11" s="16" t="s">
        <v>14</v>
      </c>
      <c r="B11" s="69" t="s">
        <v>15</v>
      </c>
      <c r="C11" s="70"/>
      <c r="D11" s="79"/>
      <c r="E11" s="17" t="s">
        <v>16</v>
      </c>
    </row>
    <row r="12" spans="1:5" ht="15" thickTop="1" x14ac:dyDescent="0.35">
      <c r="A12" s="71">
        <v>1</v>
      </c>
      <c r="B12" s="19" t="s">
        <v>85</v>
      </c>
      <c r="C12" s="20"/>
      <c r="D12" s="20"/>
      <c r="E12" s="21">
        <v>2000000</v>
      </c>
    </row>
    <row r="13" spans="1:5" x14ac:dyDescent="0.35">
      <c r="A13" s="72"/>
      <c r="B13" s="53" t="s">
        <v>84</v>
      </c>
      <c r="C13" s="34"/>
      <c r="D13" s="34"/>
      <c r="E13" s="25"/>
    </row>
    <row r="14" spans="1:5" x14ac:dyDescent="0.35">
      <c r="A14" s="72"/>
      <c r="B14" s="53" t="s">
        <v>82</v>
      </c>
      <c r="C14" s="34"/>
      <c r="D14" s="34"/>
      <c r="E14" s="25"/>
    </row>
    <row r="15" spans="1:5" x14ac:dyDescent="0.35">
      <c r="A15" s="72"/>
      <c r="B15" s="22" t="s">
        <v>92</v>
      </c>
      <c r="C15" s="23">
        <f>'Meterading 2025'!B74</f>
        <v>13444</v>
      </c>
      <c r="D15" s="24"/>
      <c r="E15" s="25"/>
    </row>
    <row r="16" spans="1:5" x14ac:dyDescent="0.35">
      <c r="A16" s="72"/>
      <c r="B16" s="143" t="s">
        <v>19</v>
      </c>
      <c r="C16" s="149">
        <f>'Meterading 2025'!C74</f>
        <v>13616</v>
      </c>
      <c r="D16" s="144" t="s">
        <v>20</v>
      </c>
      <c r="E16" s="25"/>
    </row>
    <row r="17" spans="1:5" x14ac:dyDescent="0.35">
      <c r="A17" s="72"/>
      <c r="B17" s="143" t="s">
        <v>21</v>
      </c>
      <c r="C17" s="67">
        <f>C16-C15</f>
        <v>172</v>
      </c>
      <c r="D17" s="144"/>
      <c r="E17" s="25"/>
    </row>
    <row r="18" spans="1:5" x14ac:dyDescent="0.35">
      <c r="A18" s="72"/>
      <c r="B18" s="143" t="s">
        <v>22</v>
      </c>
      <c r="C18" s="149">
        <v>3000</v>
      </c>
      <c r="D18" s="144" t="s">
        <v>20</v>
      </c>
      <c r="E18" s="25"/>
    </row>
    <row r="19" spans="1:5" ht="15" thickBot="1" x14ac:dyDescent="0.4">
      <c r="A19" s="72"/>
      <c r="B19" s="143" t="s">
        <v>21</v>
      </c>
      <c r="C19" s="67">
        <f>C17-C18</f>
        <v>-2828</v>
      </c>
      <c r="D19" s="144"/>
      <c r="E19" s="25"/>
    </row>
    <row r="20" spans="1:5" ht="15" thickTop="1" x14ac:dyDescent="0.35">
      <c r="A20" s="18"/>
      <c r="B20" s="102" t="s">
        <v>96</v>
      </c>
      <c r="C20" s="20"/>
      <c r="D20" s="103"/>
      <c r="E20" s="21"/>
    </row>
    <row r="21" spans="1:5" x14ac:dyDescent="0.35">
      <c r="A21" s="28"/>
      <c r="B21" s="143" t="s">
        <v>93</v>
      </c>
      <c r="C21" s="23">
        <f>'Meterading 2025'!F74</f>
        <v>13027</v>
      </c>
      <c r="D21" s="145"/>
      <c r="E21" s="25"/>
    </row>
    <row r="22" spans="1:5" ht="17.25" customHeight="1" x14ac:dyDescent="0.35">
      <c r="A22" s="28"/>
      <c r="B22" s="143" t="s">
        <v>19</v>
      </c>
      <c r="C22" s="149">
        <f>'Meterading 2025'!G74</f>
        <v>13286</v>
      </c>
      <c r="D22" s="144" t="s">
        <v>20</v>
      </c>
      <c r="E22" s="25"/>
    </row>
    <row r="23" spans="1:5" x14ac:dyDescent="0.35">
      <c r="A23" s="28"/>
      <c r="B23" s="143" t="s">
        <v>21</v>
      </c>
      <c r="C23" s="67">
        <f>C22-C21</f>
        <v>259</v>
      </c>
      <c r="D23" s="144"/>
      <c r="E23" s="25"/>
    </row>
    <row r="24" spans="1:5" ht="16.5" customHeight="1" x14ac:dyDescent="0.35">
      <c r="A24" s="28"/>
      <c r="B24" s="143" t="s">
        <v>22</v>
      </c>
      <c r="C24" s="149">
        <v>100</v>
      </c>
      <c r="D24" s="144" t="s">
        <v>20</v>
      </c>
      <c r="E24" s="25"/>
    </row>
    <row r="25" spans="1:5" ht="17.25" customHeight="1" thickBot="1" x14ac:dyDescent="0.4">
      <c r="A25" s="28"/>
      <c r="B25" s="146" t="s">
        <v>21</v>
      </c>
      <c r="C25" s="147">
        <f>+C23-C24</f>
        <v>159</v>
      </c>
      <c r="D25" s="148"/>
      <c r="E25" s="25"/>
    </row>
    <row r="26" spans="1:5" ht="15" thickTop="1" x14ac:dyDescent="0.35">
      <c r="A26" s="72"/>
      <c r="B26" s="141" t="s">
        <v>94</v>
      </c>
      <c r="C26" s="34"/>
      <c r="D26" s="142"/>
      <c r="E26" s="103"/>
    </row>
    <row r="27" spans="1:5" x14ac:dyDescent="0.35">
      <c r="A27" s="72"/>
      <c r="B27" s="22" t="s">
        <v>92</v>
      </c>
      <c r="C27" s="92">
        <v>6</v>
      </c>
      <c r="D27" s="24"/>
      <c r="E27" s="25"/>
    </row>
    <row r="28" spans="1:5" x14ac:dyDescent="0.35">
      <c r="A28" s="72"/>
      <c r="B28" s="22" t="s">
        <v>19</v>
      </c>
      <c r="C28" s="104">
        <v>6</v>
      </c>
      <c r="D28" s="27" t="s">
        <v>20</v>
      </c>
      <c r="E28" s="25"/>
    </row>
    <row r="29" spans="1:5" x14ac:dyDescent="0.35">
      <c r="A29" s="72"/>
      <c r="B29" s="22" t="s">
        <v>21</v>
      </c>
      <c r="C29" s="92">
        <f>+C28-C27</f>
        <v>0</v>
      </c>
      <c r="D29" s="27"/>
      <c r="E29" s="25"/>
    </row>
    <row r="30" spans="1:5" ht="15" customHeight="1" x14ac:dyDescent="0.35">
      <c r="A30" s="72"/>
      <c r="B30" s="22" t="s">
        <v>22</v>
      </c>
      <c r="C30" s="104">
        <v>0</v>
      </c>
      <c r="D30" s="27" t="s">
        <v>20</v>
      </c>
      <c r="E30" s="25"/>
    </row>
    <row r="31" spans="1:5" ht="13.5" customHeight="1" thickBot="1" x14ac:dyDescent="0.4">
      <c r="A31" s="72"/>
      <c r="B31" s="22" t="s">
        <v>21</v>
      </c>
      <c r="C31" s="92">
        <v>0</v>
      </c>
      <c r="D31" s="27"/>
      <c r="E31" s="25"/>
    </row>
    <row r="32" spans="1:5" ht="18" customHeight="1" thickTop="1" x14ac:dyDescent="0.35">
      <c r="A32" s="18"/>
      <c r="B32" s="19" t="s">
        <v>97</v>
      </c>
      <c r="C32" s="105"/>
      <c r="D32" s="20"/>
      <c r="E32" s="21"/>
    </row>
    <row r="33" spans="1:5" ht="13.5" customHeight="1" x14ac:dyDescent="0.35">
      <c r="A33" s="28"/>
      <c r="B33" s="22" t="s">
        <v>93</v>
      </c>
      <c r="C33" s="92">
        <v>11</v>
      </c>
      <c r="D33" s="24"/>
      <c r="E33" s="25"/>
    </row>
    <row r="34" spans="1:5" ht="16.5" customHeight="1" x14ac:dyDescent="0.35">
      <c r="A34" s="28"/>
      <c r="B34" s="22" t="s">
        <v>19</v>
      </c>
      <c r="C34" s="104">
        <v>11</v>
      </c>
      <c r="D34" s="27" t="s">
        <v>20</v>
      </c>
      <c r="E34" s="25"/>
    </row>
    <row r="35" spans="1:5" ht="13.5" customHeight="1" thickBot="1" x14ac:dyDescent="0.4">
      <c r="A35" s="28"/>
      <c r="B35" s="22" t="s">
        <v>21</v>
      </c>
      <c r="C35" s="92">
        <f>+C34-C33</f>
        <v>0</v>
      </c>
      <c r="D35" s="27"/>
      <c r="E35" s="25"/>
    </row>
    <row r="36" spans="1:5" ht="18.75" customHeight="1" thickTop="1" thickBot="1" x14ac:dyDescent="0.4">
      <c r="A36" s="29">
        <v>2</v>
      </c>
      <c r="B36" s="30" t="s">
        <v>98</v>
      </c>
      <c r="C36" s="150" t="s">
        <v>24</v>
      </c>
      <c r="D36" s="151">
        <v>110</v>
      </c>
      <c r="E36" s="152">
        <v>0</v>
      </c>
    </row>
    <row r="37" spans="1:5" ht="17.25" customHeight="1" thickTop="1" thickBot="1" x14ac:dyDescent="0.4">
      <c r="A37" s="29">
        <v>3</v>
      </c>
      <c r="B37" s="30" t="s">
        <v>99</v>
      </c>
      <c r="C37" s="150" t="s">
        <v>24</v>
      </c>
      <c r="D37" s="151">
        <v>1100</v>
      </c>
      <c r="E37" s="152">
        <f>C25*D37</f>
        <v>174900</v>
      </c>
    </row>
    <row r="38" spans="1:5" ht="15" customHeight="1" thickTop="1" thickBot="1" x14ac:dyDescent="0.4">
      <c r="A38" s="29">
        <v>4</v>
      </c>
      <c r="B38" s="30" t="s">
        <v>100</v>
      </c>
      <c r="C38" s="150" t="s">
        <v>24</v>
      </c>
      <c r="D38" s="151">
        <v>150</v>
      </c>
      <c r="E38" s="152">
        <v>0</v>
      </c>
    </row>
    <row r="39" spans="1:5" ht="14" customHeight="1" thickTop="1" thickBot="1" x14ac:dyDescent="0.4">
      <c r="A39" s="29">
        <v>5</v>
      </c>
      <c r="B39" s="30" t="s">
        <v>101</v>
      </c>
      <c r="C39" s="150" t="s">
        <v>24</v>
      </c>
      <c r="D39" s="151">
        <v>1650</v>
      </c>
      <c r="E39" s="152">
        <f>+D39*C35</f>
        <v>0</v>
      </c>
    </row>
    <row r="40" spans="1:5" ht="17.5" customHeight="1" thickTop="1" thickBot="1" x14ac:dyDescent="0.4">
      <c r="A40" s="34"/>
      <c r="B40" s="34"/>
      <c r="C40" s="153"/>
      <c r="D40" s="154" t="s">
        <v>25</v>
      </c>
      <c r="E40" s="152">
        <f>+E12+E36+E37+E38+E39</f>
        <v>2174900</v>
      </c>
    </row>
    <row r="41" spans="1:5" ht="16.5" customHeight="1" thickTop="1" thickBot="1" x14ac:dyDescent="0.4">
      <c r="A41" s="288" t="s">
        <v>26</v>
      </c>
      <c r="B41" s="289"/>
      <c r="C41" s="155"/>
      <c r="D41" s="156" t="s">
        <v>27</v>
      </c>
      <c r="E41" s="157"/>
    </row>
    <row r="42" spans="1:5" ht="19.5" customHeight="1" thickTop="1" thickBot="1" x14ac:dyDescent="0.4">
      <c r="A42" s="290" t="s">
        <v>45</v>
      </c>
      <c r="B42" s="291"/>
      <c r="C42" s="158"/>
      <c r="D42" s="156" t="s">
        <v>29</v>
      </c>
      <c r="E42" s="159">
        <f>+E40-E41</f>
        <v>2174900</v>
      </c>
    </row>
    <row r="43" spans="1:5" ht="13" customHeight="1" thickTop="1" x14ac:dyDescent="0.35">
      <c r="A43" s="290" t="s">
        <v>46</v>
      </c>
      <c r="B43" s="291"/>
      <c r="C43" s="158"/>
      <c r="D43" s="160"/>
      <c r="E43" s="161"/>
    </row>
    <row r="44" spans="1:5" ht="13" customHeight="1" x14ac:dyDescent="0.35">
      <c r="A44" s="292" t="s">
        <v>80</v>
      </c>
      <c r="B44" s="293"/>
      <c r="C44" s="158"/>
      <c r="D44" s="160"/>
      <c r="E44" s="161"/>
    </row>
    <row r="45" spans="1:5" ht="13" customHeight="1" x14ac:dyDescent="0.35">
      <c r="A45" s="292" t="s">
        <v>81</v>
      </c>
      <c r="B45" s="293"/>
      <c r="C45" s="158"/>
      <c r="D45" s="160"/>
      <c r="E45" s="161"/>
    </row>
    <row r="46" spans="1:5" ht="13" customHeight="1" x14ac:dyDescent="0.35">
      <c r="A46" s="294" t="s">
        <v>28</v>
      </c>
      <c r="B46" s="295"/>
      <c r="C46" s="162"/>
      <c r="D46" s="162"/>
      <c r="E46" s="163"/>
    </row>
    <row r="47" spans="1:5" ht="13" customHeight="1" thickBot="1" x14ac:dyDescent="0.4">
      <c r="A47" s="296" t="s">
        <v>30</v>
      </c>
      <c r="B47" s="297"/>
      <c r="C47" s="162"/>
      <c r="D47" s="162"/>
      <c r="E47" s="163"/>
    </row>
    <row r="48" spans="1:5" ht="13.5" customHeight="1" thickTop="1" x14ac:dyDescent="0.35">
      <c r="A48" s="139"/>
      <c r="B48" s="139"/>
      <c r="C48" s="164"/>
      <c r="D48" s="164"/>
      <c r="E48" s="164"/>
    </row>
    <row r="49" spans="1:5" ht="13.5" customHeight="1" x14ac:dyDescent="0.35">
      <c r="A49" s="298" t="s">
        <v>33</v>
      </c>
      <c r="B49" s="298"/>
      <c r="C49" s="286" t="s">
        <v>1</v>
      </c>
      <c r="D49" s="286"/>
      <c r="E49" s="286"/>
    </row>
    <row r="50" spans="1:5" ht="13.5" customHeight="1" x14ac:dyDescent="0.35">
      <c r="A50" s="140"/>
      <c r="B50" s="140"/>
      <c r="C50" s="165"/>
      <c r="D50" s="165"/>
      <c r="E50" s="166"/>
    </row>
    <row r="51" spans="1:5" ht="16.5" customHeight="1" x14ac:dyDescent="0.35">
      <c r="A51" s="140"/>
      <c r="B51" s="140"/>
      <c r="C51" s="165"/>
      <c r="D51" s="165"/>
      <c r="E51" s="166"/>
    </row>
    <row r="52" spans="1:5" x14ac:dyDescent="0.35">
      <c r="A52" s="140"/>
      <c r="B52" s="140"/>
      <c r="C52" s="165"/>
      <c r="D52" s="165"/>
      <c r="E52" s="166"/>
    </row>
    <row r="53" spans="1:5" x14ac:dyDescent="0.35">
      <c r="A53" s="285" t="s">
        <v>34</v>
      </c>
      <c r="B53" s="285"/>
      <c r="C53" s="286" t="s">
        <v>149</v>
      </c>
      <c r="D53" s="286"/>
      <c r="E53" s="286"/>
    </row>
    <row r="54" spans="1:5" x14ac:dyDescent="0.35">
      <c r="A54" s="140"/>
      <c r="B54" s="140"/>
      <c r="C54" s="287" t="s">
        <v>170</v>
      </c>
      <c r="D54" s="287"/>
      <c r="E54" s="287"/>
    </row>
    <row r="55" spans="1:5" ht="15" thickBot="1" x14ac:dyDescent="0.4">
      <c r="A55" s="140"/>
      <c r="B55" s="140"/>
      <c r="C55" s="203"/>
      <c r="D55" s="203"/>
      <c r="E55" s="203"/>
    </row>
    <row r="56" spans="1:5" ht="15.5" thickTop="1" thickBot="1" x14ac:dyDescent="0.4">
      <c r="A56" s="299" t="s">
        <v>1</v>
      </c>
      <c r="B56" s="300"/>
      <c r="C56" s="3"/>
      <c r="D56" s="96" t="s">
        <v>0</v>
      </c>
      <c r="E56" s="97" t="s">
        <v>192</v>
      </c>
    </row>
    <row r="57" spans="1:5" ht="15.5" thickTop="1" thickBot="1" x14ac:dyDescent="0.4">
      <c r="A57" s="301"/>
      <c r="B57" s="302"/>
      <c r="C57" s="3"/>
      <c r="D57" s="98" t="s">
        <v>2</v>
      </c>
      <c r="E57" s="97">
        <v>46010</v>
      </c>
    </row>
    <row r="58" spans="1:5" ht="15.5" thickTop="1" thickBot="1" x14ac:dyDescent="0.4">
      <c r="A58" s="303" t="s">
        <v>104</v>
      </c>
      <c r="B58" s="304"/>
      <c r="C58" s="3"/>
      <c r="D58" s="99" t="s">
        <v>4</v>
      </c>
      <c r="E58" s="100"/>
    </row>
    <row r="59" spans="1:5" ht="15.5" thickTop="1" thickBot="1" x14ac:dyDescent="0.4">
      <c r="A59" s="303" t="s">
        <v>77</v>
      </c>
      <c r="B59" s="304"/>
      <c r="C59" s="3"/>
      <c r="D59" s="101" t="s">
        <v>90</v>
      </c>
      <c r="E59" s="100"/>
    </row>
    <row r="60" spans="1:5" ht="24.75" customHeight="1" thickTop="1" x14ac:dyDescent="0.35">
      <c r="A60" s="303" t="s">
        <v>78</v>
      </c>
      <c r="B60" s="304"/>
      <c r="C60" s="3"/>
      <c r="D60" s="305" t="s">
        <v>86</v>
      </c>
      <c r="E60" s="306"/>
    </row>
    <row r="61" spans="1:5" ht="33" customHeight="1" thickBot="1" x14ac:dyDescent="0.4">
      <c r="A61" s="309" t="s">
        <v>11</v>
      </c>
      <c r="B61" s="310"/>
      <c r="D61" s="307"/>
      <c r="E61" s="308"/>
    </row>
    <row r="62" spans="1:5" ht="15.5" thickTop="1" thickBot="1" x14ac:dyDescent="0.4">
      <c r="A62" s="311" t="s">
        <v>79</v>
      </c>
      <c r="B62" s="312"/>
      <c r="C62" s="3"/>
      <c r="D62" s="99" t="s">
        <v>88</v>
      </c>
      <c r="E62" s="100" t="s">
        <v>89</v>
      </c>
    </row>
    <row r="63" spans="1:5" ht="15" thickTop="1" x14ac:dyDescent="0.35">
      <c r="A63" s="13"/>
      <c r="B63" s="13"/>
      <c r="C63" s="3"/>
      <c r="D63" s="14"/>
      <c r="E63" s="14"/>
    </row>
    <row r="64" spans="1:5" ht="26" customHeight="1" x14ac:dyDescent="0.55000000000000004">
      <c r="A64" s="223" t="s">
        <v>87</v>
      </c>
      <c r="B64" s="223"/>
      <c r="C64" s="223"/>
      <c r="D64" s="223"/>
      <c r="E64" s="223"/>
    </row>
    <row r="65" spans="1:5" ht="15" thickBot="1" x14ac:dyDescent="0.4">
      <c r="A65" s="224" t="s">
        <v>194</v>
      </c>
      <c r="B65" s="224"/>
      <c r="C65" s="3"/>
      <c r="D65" s="3"/>
      <c r="E65" s="15"/>
    </row>
    <row r="66" spans="1:5" ht="15.5" thickTop="1" thickBot="1" x14ac:dyDescent="0.4">
      <c r="A66" s="16" t="s">
        <v>14</v>
      </c>
      <c r="B66" s="69" t="s">
        <v>15</v>
      </c>
      <c r="C66" s="70"/>
      <c r="D66" s="79"/>
      <c r="E66" s="17" t="s">
        <v>16</v>
      </c>
    </row>
    <row r="67" spans="1:5" ht="15" thickTop="1" x14ac:dyDescent="0.35">
      <c r="A67" s="71">
        <v>1</v>
      </c>
      <c r="B67" s="19" t="s">
        <v>85</v>
      </c>
      <c r="C67" s="20"/>
      <c r="D67" s="20"/>
      <c r="E67" s="21">
        <v>2000000</v>
      </c>
    </row>
    <row r="68" spans="1:5" x14ac:dyDescent="0.35">
      <c r="A68" s="72"/>
      <c r="B68" s="53" t="s">
        <v>84</v>
      </c>
      <c r="C68" s="34"/>
      <c r="D68" s="34"/>
      <c r="E68" s="25"/>
    </row>
    <row r="69" spans="1:5" x14ac:dyDescent="0.35">
      <c r="A69" s="72"/>
      <c r="B69" s="53" t="s">
        <v>82</v>
      </c>
      <c r="C69" s="34"/>
      <c r="D69" s="34"/>
      <c r="E69" s="25"/>
    </row>
    <row r="70" spans="1:5" x14ac:dyDescent="0.35">
      <c r="A70" s="72"/>
      <c r="B70" s="22" t="s">
        <v>92</v>
      </c>
      <c r="C70" s="23">
        <f>'Meterading 2025'!B73</f>
        <v>13170</v>
      </c>
      <c r="D70" s="24"/>
      <c r="E70" s="25"/>
    </row>
    <row r="71" spans="1:5" x14ac:dyDescent="0.35">
      <c r="A71" s="72"/>
      <c r="B71" s="143" t="s">
        <v>19</v>
      </c>
      <c r="C71" s="149">
        <f>'Meterading 2025'!C73</f>
        <v>13444</v>
      </c>
      <c r="D71" s="144" t="s">
        <v>20</v>
      </c>
      <c r="E71" s="25"/>
    </row>
    <row r="72" spans="1:5" x14ac:dyDescent="0.35">
      <c r="A72" s="72"/>
      <c r="B72" s="143" t="s">
        <v>21</v>
      </c>
      <c r="C72" s="67">
        <f>C71-C70</f>
        <v>274</v>
      </c>
      <c r="D72" s="144"/>
      <c r="E72" s="25"/>
    </row>
    <row r="73" spans="1:5" x14ac:dyDescent="0.35">
      <c r="A73" s="72"/>
      <c r="B73" s="143" t="s">
        <v>22</v>
      </c>
      <c r="C73" s="149">
        <v>3000</v>
      </c>
      <c r="D73" s="144" t="s">
        <v>20</v>
      </c>
      <c r="E73" s="25"/>
    </row>
    <row r="74" spans="1:5" ht="15" thickBot="1" x14ac:dyDescent="0.4">
      <c r="A74" s="72"/>
      <c r="B74" s="143" t="s">
        <v>21</v>
      </c>
      <c r="C74" s="67">
        <f>C72-C73</f>
        <v>-2726</v>
      </c>
      <c r="D74" s="144"/>
      <c r="E74" s="25"/>
    </row>
    <row r="75" spans="1:5" ht="15" thickTop="1" x14ac:dyDescent="0.35">
      <c r="A75" s="18"/>
      <c r="B75" s="102" t="s">
        <v>96</v>
      </c>
      <c r="C75" s="20"/>
      <c r="D75" s="103"/>
      <c r="E75" s="21"/>
    </row>
    <row r="76" spans="1:5" x14ac:dyDescent="0.35">
      <c r="A76" s="28"/>
      <c r="B76" s="143" t="s">
        <v>93</v>
      </c>
      <c r="C76" s="23">
        <f>'Meterading 2025'!F73</f>
        <v>12646</v>
      </c>
      <c r="D76" s="145"/>
      <c r="E76" s="25"/>
    </row>
    <row r="77" spans="1:5" ht="17.25" customHeight="1" x14ac:dyDescent="0.35">
      <c r="A77" s="28"/>
      <c r="B77" s="143" t="s">
        <v>19</v>
      </c>
      <c r="C77" s="149">
        <f>'Meterading 2025'!G73</f>
        <v>13027</v>
      </c>
      <c r="D77" s="144" t="s">
        <v>20</v>
      </c>
      <c r="E77" s="25"/>
    </row>
    <row r="78" spans="1:5" x14ac:dyDescent="0.35">
      <c r="A78" s="28"/>
      <c r="B78" s="143" t="s">
        <v>21</v>
      </c>
      <c r="C78" s="67">
        <f>C77-C76</f>
        <v>381</v>
      </c>
      <c r="D78" s="144"/>
      <c r="E78" s="25"/>
    </row>
    <row r="79" spans="1:5" ht="16.5" customHeight="1" x14ac:dyDescent="0.35">
      <c r="A79" s="28"/>
      <c r="B79" s="143" t="s">
        <v>22</v>
      </c>
      <c r="C79" s="149">
        <v>100</v>
      </c>
      <c r="D79" s="144" t="s">
        <v>20</v>
      </c>
      <c r="E79" s="25"/>
    </row>
    <row r="80" spans="1:5" ht="17.25" customHeight="1" thickBot="1" x14ac:dyDescent="0.4">
      <c r="A80" s="28"/>
      <c r="B80" s="146" t="s">
        <v>21</v>
      </c>
      <c r="C80" s="147">
        <f>+C78-C79</f>
        <v>281</v>
      </c>
      <c r="D80" s="148"/>
      <c r="E80" s="25"/>
    </row>
    <row r="81" spans="1:5" ht="15" thickTop="1" x14ac:dyDescent="0.35">
      <c r="A81" s="72"/>
      <c r="B81" s="141" t="s">
        <v>94</v>
      </c>
      <c r="C81" s="34"/>
      <c r="D81" s="142"/>
      <c r="E81" s="103"/>
    </row>
    <row r="82" spans="1:5" x14ac:dyDescent="0.35">
      <c r="A82" s="72"/>
      <c r="B82" s="22" t="s">
        <v>92</v>
      </c>
      <c r="C82" s="92">
        <v>6</v>
      </c>
      <c r="D82" s="24"/>
      <c r="E82" s="25"/>
    </row>
    <row r="83" spans="1:5" x14ac:dyDescent="0.35">
      <c r="A83" s="72"/>
      <c r="B83" s="22" t="s">
        <v>19</v>
      </c>
      <c r="C83" s="104">
        <v>6</v>
      </c>
      <c r="D83" s="27" t="s">
        <v>20</v>
      </c>
      <c r="E83" s="25"/>
    </row>
    <row r="84" spans="1:5" x14ac:dyDescent="0.35">
      <c r="A84" s="72"/>
      <c r="B84" s="22" t="s">
        <v>21</v>
      </c>
      <c r="C84" s="92">
        <f>+C83-C82</f>
        <v>0</v>
      </c>
      <c r="D84" s="27"/>
      <c r="E84" s="25"/>
    </row>
    <row r="85" spans="1:5" ht="15" customHeight="1" x14ac:dyDescent="0.35">
      <c r="A85" s="72"/>
      <c r="B85" s="22" t="s">
        <v>22</v>
      </c>
      <c r="C85" s="104">
        <v>0</v>
      </c>
      <c r="D85" s="27" t="s">
        <v>20</v>
      </c>
      <c r="E85" s="25"/>
    </row>
    <row r="86" spans="1:5" ht="13.5" customHeight="1" thickBot="1" x14ac:dyDescent="0.4">
      <c r="A86" s="72"/>
      <c r="B86" s="22" t="s">
        <v>21</v>
      </c>
      <c r="C86" s="92">
        <v>0</v>
      </c>
      <c r="D86" s="27"/>
      <c r="E86" s="25"/>
    </row>
    <row r="87" spans="1:5" ht="18" customHeight="1" thickTop="1" x14ac:dyDescent="0.35">
      <c r="A87" s="18"/>
      <c r="B87" s="19" t="s">
        <v>97</v>
      </c>
      <c r="C87" s="105"/>
      <c r="D87" s="20"/>
      <c r="E87" s="21"/>
    </row>
    <row r="88" spans="1:5" ht="13.5" customHeight="1" x14ac:dyDescent="0.35">
      <c r="A88" s="28"/>
      <c r="B88" s="22" t="s">
        <v>93</v>
      </c>
      <c r="C88" s="92">
        <v>11</v>
      </c>
      <c r="D88" s="24"/>
      <c r="E88" s="25"/>
    </row>
    <row r="89" spans="1:5" ht="16.5" customHeight="1" x14ac:dyDescent="0.35">
      <c r="A89" s="28"/>
      <c r="B89" s="22" t="s">
        <v>19</v>
      </c>
      <c r="C89" s="104">
        <v>11</v>
      </c>
      <c r="D89" s="27" t="s">
        <v>20</v>
      </c>
      <c r="E89" s="25"/>
    </row>
    <row r="90" spans="1:5" ht="13.5" customHeight="1" thickBot="1" x14ac:dyDescent="0.4">
      <c r="A90" s="28"/>
      <c r="B90" s="22" t="s">
        <v>21</v>
      </c>
      <c r="C90" s="92">
        <f>+C89-C88</f>
        <v>0</v>
      </c>
      <c r="D90" s="27"/>
      <c r="E90" s="25"/>
    </row>
    <row r="91" spans="1:5" ht="18.75" customHeight="1" thickTop="1" thickBot="1" x14ac:dyDescent="0.4">
      <c r="A91" s="29">
        <v>2</v>
      </c>
      <c r="B91" s="30" t="s">
        <v>98</v>
      </c>
      <c r="C91" s="150" t="s">
        <v>24</v>
      </c>
      <c r="D91" s="151">
        <v>110</v>
      </c>
      <c r="E91" s="152">
        <v>0</v>
      </c>
    </row>
    <row r="92" spans="1:5" ht="17.25" customHeight="1" thickTop="1" thickBot="1" x14ac:dyDescent="0.4">
      <c r="A92" s="29">
        <v>3</v>
      </c>
      <c r="B92" s="30" t="s">
        <v>99</v>
      </c>
      <c r="C92" s="150" t="s">
        <v>24</v>
      </c>
      <c r="D92" s="151">
        <v>1100</v>
      </c>
      <c r="E92" s="152">
        <f>C80*D92</f>
        <v>309100</v>
      </c>
    </row>
    <row r="93" spans="1:5" ht="15" customHeight="1" thickTop="1" thickBot="1" x14ac:dyDescent="0.4">
      <c r="A93" s="29">
        <v>4</v>
      </c>
      <c r="B93" s="30" t="s">
        <v>100</v>
      </c>
      <c r="C93" s="150" t="s">
        <v>24</v>
      </c>
      <c r="D93" s="151">
        <v>150</v>
      </c>
      <c r="E93" s="152">
        <v>0</v>
      </c>
    </row>
    <row r="94" spans="1:5" ht="14" customHeight="1" thickTop="1" thickBot="1" x14ac:dyDescent="0.4">
      <c r="A94" s="29">
        <v>5</v>
      </c>
      <c r="B94" s="30" t="s">
        <v>101</v>
      </c>
      <c r="C94" s="150" t="s">
        <v>24</v>
      </c>
      <c r="D94" s="151">
        <v>1650</v>
      </c>
      <c r="E94" s="152">
        <f>+D94*C90</f>
        <v>0</v>
      </c>
    </row>
    <row r="95" spans="1:5" ht="17.5" customHeight="1" thickTop="1" thickBot="1" x14ac:dyDescent="0.4">
      <c r="A95" s="34"/>
      <c r="B95" s="34"/>
      <c r="C95" s="153"/>
      <c r="D95" s="154" t="s">
        <v>25</v>
      </c>
      <c r="E95" s="152">
        <f>+E67+E91+E92+E93+E94</f>
        <v>2309100</v>
      </c>
    </row>
    <row r="96" spans="1:5" ht="16.5" customHeight="1" thickTop="1" thickBot="1" x14ac:dyDescent="0.4">
      <c r="A96" s="288" t="s">
        <v>26</v>
      </c>
      <c r="B96" s="289"/>
      <c r="C96" s="155"/>
      <c r="D96" s="156" t="s">
        <v>27</v>
      </c>
      <c r="E96" s="157"/>
    </row>
    <row r="97" spans="1:5" ht="19.5" customHeight="1" thickTop="1" thickBot="1" x14ac:dyDescent="0.4">
      <c r="A97" s="290" t="s">
        <v>45</v>
      </c>
      <c r="B97" s="291"/>
      <c r="C97" s="158"/>
      <c r="D97" s="156" t="s">
        <v>29</v>
      </c>
      <c r="E97" s="159">
        <f>+E95-E96</f>
        <v>2309100</v>
      </c>
    </row>
    <row r="98" spans="1:5" ht="13" customHeight="1" thickTop="1" x14ac:dyDescent="0.35">
      <c r="A98" s="290" t="s">
        <v>46</v>
      </c>
      <c r="B98" s="291"/>
      <c r="C98" s="158"/>
      <c r="D98" s="160"/>
      <c r="E98" s="161"/>
    </row>
    <row r="99" spans="1:5" ht="13" customHeight="1" x14ac:dyDescent="0.35">
      <c r="A99" s="292" t="s">
        <v>80</v>
      </c>
      <c r="B99" s="293"/>
      <c r="C99" s="158"/>
      <c r="D99" s="160"/>
      <c r="E99" s="161"/>
    </row>
    <row r="100" spans="1:5" ht="13" customHeight="1" x14ac:dyDescent="0.35">
      <c r="A100" s="292" t="s">
        <v>81</v>
      </c>
      <c r="B100" s="293"/>
      <c r="C100" s="158"/>
      <c r="D100" s="160"/>
      <c r="E100" s="161"/>
    </row>
    <row r="101" spans="1:5" ht="13" customHeight="1" x14ac:dyDescent="0.35">
      <c r="A101" s="294" t="s">
        <v>28</v>
      </c>
      <c r="B101" s="295"/>
      <c r="C101" s="162"/>
      <c r="D101" s="162"/>
      <c r="E101" s="163"/>
    </row>
    <row r="102" spans="1:5" ht="13" customHeight="1" thickBot="1" x14ac:dyDescent="0.4">
      <c r="A102" s="296" t="s">
        <v>30</v>
      </c>
      <c r="B102" s="297"/>
      <c r="C102" s="162"/>
      <c r="D102" s="162"/>
      <c r="E102" s="163"/>
    </row>
    <row r="103" spans="1:5" ht="13.5" customHeight="1" thickTop="1" x14ac:dyDescent="0.35">
      <c r="A103" s="139"/>
      <c r="B103" s="139"/>
      <c r="C103" s="164"/>
      <c r="D103" s="164"/>
      <c r="E103" s="164"/>
    </row>
    <row r="104" spans="1:5" ht="13.5" customHeight="1" x14ac:dyDescent="0.35">
      <c r="A104" s="298" t="s">
        <v>33</v>
      </c>
      <c r="B104" s="298"/>
      <c r="C104" s="286" t="s">
        <v>1</v>
      </c>
      <c r="D104" s="286"/>
      <c r="E104" s="286"/>
    </row>
    <row r="105" spans="1:5" ht="13.5" customHeight="1" x14ac:dyDescent="0.35">
      <c r="A105" s="140"/>
      <c r="B105" s="140"/>
      <c r="C105" s="165"/>
      <c r="D105" s="165"/>
      <c r="E105" s="166"/>
    </row>
    <row r="106" spans="1:5" ht="16.5" customHeight="1" x14ac:dyDescent="0.35">
      <c r="A106" s="140"/>
      <c r="B106" s="140"/>
      <c r="C106" s="165"/>
      <c r="D106" s="165"/>
      <c r="E106" s="166"/>
    </row>
    <row r="107" spans="1:5" x14ac:dyDescent="0.35">
      <c r="A107" s="140"/>
      <c r="B107" s="140"/>
      <c r="C107" s="165"/>
      <c r="D107" s="165"/>
      <c r="E107" s="166"/>
    </row>
    <row r="108" spans="1:5" x14ac:dyDescent="0.35">
      <c r="A108" s="285" t="s">
        <v>34</v>
      </c>
      <c r="B108" s="285"/>
      <c r="C108" s="286" t="s">
        <v>149</v>
      </c>
      <c r="D108" s="286"/>
      <c r="E108" s="286"/>
    </row>
    <row r="109" spans="1:5" x14ac:dyDescent="0.35">
      <c r="A109" s="140"/>
      <c r="B109" s="140"/>
      <c r="C109" s="287" t="s">
        <v>170</v>
      </c>
      <c r="D109" s="287"/>
      <c r="E109" s="287"/>
    </row>
    <row r="110" spans="1:5" ht="15" thickBot="1" x14ac:dyDescent="0.4">
      <c r="A110" s="140"/>
      <c r="B110" s="140"/>
      <c r="C110" s="203"/>
      <c r="D110" s="203"/>
      <c r="E110" s="203"/>
    </row>
    <row r="111" spans="1:5" ht="15.5" thickTop="1" thickBot="1" x14ac:dyDescent="0.4">
      <c r="A111" s="299" t="s">
        <v>1</v>
      </c>
      <c r="B111" s="300"/>
      <c r="C111" s="3"/>
      <c r="D111" s="96" t="s">
        <v>0</v>
      </c>
      <c r="E111" s="97" t="s">
        <v>192</v>
      </c>
    </row>
    <row r="112" spans="1:5" ht="15.5" thickTop="1" thickBot="1" x14ac:dyDescent="0.4">
      <c r="A112" s="301"/>
      <c r="B112" s="302"/>
      <c r="C112" s="3"/>
      <c r="D112" s="98" t="s">
        <v>2</v>
      </c>
      <c r="E112" s="97">
        <v>45968</v>
      </c>
    </row>
    <row r="113" spans="1:5" ht="21.75" customHeight="1" thickTop="1" thickBot="1" x14ac:dyDescent="0.4">
      <c r="A113" s="303" t="s">
        <v>104</v>
      </c>
      <c r="B113" s="304"/>
      <c r="C113" s="3"/>
      <c r="D113" s="99" t="s">
        <v>4</v>
      </c>
      <c r="E113" s="100"/>
    </row>
    <row r="114" spans="1:5" ht="22.5" customHeight="1" thickTop="1" thickBot="1" x14ac:dyDescent="0.4">
      <c r="A114" s="303" t="s">
        <v>77</v>
      </c>
      <c r="B114" s="304"/>
      <c r="C114" s="3"/>
      <c r="D114" s="101" t="s">
        <v>90</v>
      </c>
      <c r="E114" s="100"/>
    </row>
    <row r="115" spans="1:5" ht="24.75" customHeight="1" thickTop="1" x14ac:dyDescent="0.35">
      <c r="A115" s="303" t="s">
        <v>78</v>
      </c>
      <c r="B115" s="304"/>
      <c r="C115" s="3"/>
      <c r="D115" s="305" t="s">
        <v>86</v>
      </c>
      <c r="E115" s="306"/>
    </row>
    <row r="116" spans="1:5" ht="33" customHeight="1" thickBot="1" x14ac:dyDescent="0.4">
      <c r="A116" s="309" t="s">
        <v>11</v>
      </c>
      <c r="B116" s="310"/>
      <c r="D116" s="307"/>
      <c r="E116" s="308"/>
    </row>
    <row r="117" spans="1:5" ht="15.5" thickTop="1" thickBot="1" x14ac:dyDescent="0.4">
      <c r="A117" s="311" t="s">
        <v>79</v>
      </c>
      <c r="B117" s="312"/>
      <c r="C117" s="3"/>
      <c r="D117" s="99" t="s">
        <v>88</v>
      </c>
      <c r="E117" s="100" t="s">
        <v>89</v>
      </c>
    </row>
    <row r="118" spans="1:5" ht="15" thickTop="1" x14ac:dyDescent="0.35">
      <c r="A118" s="13"/>
      <c r="B118" s="13"/>
      <c r="C118" s="3"/>
      <c r="D118" s="14"/>
      <c r="E118" s="14"/>
    </row>
    <row r="119" spans="1:5" ht="31" customHeight="1" x14ac:dyDescent="0.55000000000000004">
      <c r="A119" s="223" t="s">
        <v>87</v>
      </c>
      <c r="B119" s="223"/>
      <c r="C119" s="223"/>
      <c r="D119" s="223"/>
      <c r="E119" s="223"/>
    </row>
    <row r="120" spans="1:5" ht="15" thickBot="1" x14ac:dyDescent="0.4">
      <c r="A120" s="224" t="s">
        <v>194</v>
      </c>
      <c r="B120" s="224"/>
      <c r="C120" s="3"/>
      <c r="D120" s="3"/>
      <c r="E120" s="15"/>
    </row>
    <row r="121" spans="1:5" ht="15.5" thickTop="1" thickBot="1" x14ac:dyDescent="0.4">
      <c r="A121" s="16" t="s">
        <v>14</v>
      </c>
      <c r="B121" s="69" t="s">
        <v>15</v>
      </c>
      <c r="C121" s="70"/>
      <c r="D121" s="79"/>
      <c r="E121" s="17" t="s">
        <v>16</v>
      </c>
    </row>
    <row r="122" spans="1:5" ht="15" thickTop="1" x14ac:dyDescent="0.35">
      <c r="A122" s="71">
        <v>1</v>
      </c>
      <c r="B122" s="19" t="s">
        <v>85</v>
      </c>
      <c r="C122" s="20"/>
      <c r="D122" s="20"/>
      <c r="E122" s="21">
        <v>2000000</v>
      </c>
    </row>
    <row r="123" spans="1:5" x14ac:dyDescent="0.35">
      <c r="A123" s="72"/>
      <c r="B123" s="53" t="s">
        <v>84</v>
      </c>
      <c r="C123" s="34"/>
      <c r="D123" s="34"/>
      <c r="E123" s="25"/>
    </row>
    <row r="124" spans="1:5" x14ac:dyDescent="0.35">
      <c r="A124" s="72"/>
      <c r="B124" s="53" t="s">
        <v>82</v>
      </c>
      <c r="C124" s="34"/>
      <c r="D124" s="34"/>
      <c r="E124" s="25"/>
    </row>
    <row r="125" spans="1:5" x14ac:dyDescent="0.35">
      <c r="A125" s="72"/>
      <c r="B125" s="22" t="s">
        <v>92</v>
      </c>
      <c r="C125" s="23">
        <f>'Meterading 2025'!B18</f>
        <v>0</v>
      </c>
      <c r="D125" s="24"/>
      <c r="E125" s="25"/>
    </row>
    <row r="126" spans="1:5" x14ac:dyDescent="0.35">
      <c r="A126" s="72"/>
      <c r="B126" s="143" t="s">
        <v>19</v>
      </c>
      <c r="C126" s="149">
        <f>'Meterading 2025'!C18</f>
        <v>0</v>
      </c>
      <c r="D126" s="144" t="s">
        <v>20</v>
      </c>
      <c r="E126" s="25"/>
    </row>
    <row r="127" spans="1:5" x14ac:dyDescent="0.35">
      <c r="A127" s="72"/>
      <c r="B127" s="143" t="s">
        <v>21</v>
      </c>
      <c r="C127" s="67">
        <f>C126-C125</f>
        <v>0</v>
      </c>
      <c r="D127" s="144"/>
      <c r="E127" s="25"/>
    </row>
    <row r="128" spans="1:5" x14ac:dyDescent="0.35">
      <c r="A128" s="72"/>
      <c r="B128" s="143" t="s">
        <v>22</v>
      </c>
      <c r="C128" s="149">
        <v>3000</v>
      </c>
      <c r="D128" s="144" t="s">
        <v>20</v>
      </c>
      <c r="E128" s="25"/>
    </row>
    <row r="129" spans="1:5" ht="15" thickBot="1" x14ac:dyDescent="0.4">
      <c r="A129" s="72"/>
      <c r="B129" s="143" t="s">
        <v>21</v>
      </c>
      <c r="C129" s="67">
        <f>C127-C128</f>
        <v>-3000</v>
      </c>
      <c r="D129" s="144"/>
      <c r="E129" s="25"/>
    </row>
    <row r="130" spans="1:5" ht="15" thickTop="1" x14ac:dyDescent="0.35">
      <c r="A130" s="18"/>
      <c r="B130" s="102" t="s">
        <v>96</v>
      </c>
      <c r="C130" s="20"/>
      <c r="D130" s="103"/>
      <c r="E130" s="21"/>
    </row>
    <row r="131" spans="1:5" x14ac:dyDescent="0.35">
      <c r="A131" s="28"/>
      <c r="B131" s="143" t="s">
        <v>93</v>
      </c>
      <c r="C131" s="23">
        <f>'Meterading 2025'!F18</f>
        <v>0</v>
      </c>
      <c r="D131" s="145"/>
      <c r="E131" s="25"/>
    </row>
    <row r="132" spans="1:5" ht="17.25" customHeight="1" x14ac:dyDescent="0.35">
      <c r="A132" s="28"/>
      <c r="B132" s="143" t="s">
        <v>19</v>
      </c>
      <c r="C132" s="149">
        <f>'Meterading 2025'!G18</f>
        <v>0</v>
      </c>
      <c r="D132" s="144" t="s">
        <v>20</v>
      </c>
      <c r="E132" s="25"/>
    </row>
    <row r="133" spans="1:5" x14ac:dyDescent="0.35">
      <c r="A133" s="28"/>
      <c r="B133" s="143" t="s">
        <v>21</v>
      </c>
      <c r="C133" s="67">
        <f>C132-C131</f>
        <v>0</v>
      </c>
      <c r="D133" s="144"/>
      <c r="E133" s="25"/>
    </row>
    <row r="134" spans="1:5" ht="16.5" customHeight="1" x14ac:dyDescent="0.35">
      <c r="A134" s="28"/>
      <c r="B134" s="143" t="s">
        <v>22</v>
      </c>
      <c r="C134" s="149">
        <v>100</v>
      </c>
      <c r="D134" s="144" t="s">
        <v>20</v>
      </c>
      <c r="E134" s="25"/>
    </row>
    <row r="135" spans="1:5" ht="17.25" customHeight="1" thickBot="1" x14ac:dyDescent="0.4">
      <c r="A135" s="28"/>
      <c r="B135" s="146" t="s">
        <v>21</v>
      </c>
      <c r="C135" s="147">
        <f>+C133-C134</f>
        <v>-100</v>
      </c>
      <c r="D135" s="148"/>
      <c r="E135" s="25"/>
    </row>
    <row r="136" spans="1:5" ht="15" thickTop="1" x14ac:dyDescent="0.35">
      <c r="A136" s="72"/>
      <c r="B136" s="141" t="s">
        <v>94</v>
      </c>
      <c r="C136" s="34"/>
      <c r="D136" s="142"/>
      <c r="E136" s="103"/>
    </row>
    <row r="137" spans="1:5" x14ac:dyDescent="0.35">
      <c r="A137" s="72"/>
      <c r="B137" s="22" t="s">
        <v>92</v>
      </c>
      <c r="C137" s="92">
        <v>6</v>
      </c>
      <c r="D137" s="24"/>
      <c r="E137" s="25"/>
    </row>
    <row r="138" spans="1:5" x14ac:dyDescent="0.35">
      <c r="A138" s="72"/>
      <c r="B138" s="22" t="s">
        <v>19</v>
      </c>
      <c r="C138" s="104">
        <v>6</v>
      </c>
      <c r="D138" s="27" t="s">
        <v>20</v>
      </c>
      <c r="E138" s="25"/>
    </row>
    <row r="139" spans="1:5" x14ac:dyDescent="0.35">
      <c r="A139" s="72"/>
      <c r="B139" s="22" t="s">
        <v>21</v>
      </c>
      <c r="C139" s="92">
        <f>+C138-C137</f>
        <v>0</v>
      </c>
      <c r="D139" s="27"/>
      <c r="E139" s="25"/>
    </row>
    <row r="140" spans="1:5" ht="15" customHeight="1" x14ac:dyDescent="0.35">
      <c r="A140" s="72"/>
      <c r="B140" s="22" t="s">
        <v>22</v>
      </c>
      <c r="C140" s="104">
        <v>0</v>
      </c>
      <c r="D140" s="27" t="s">
        <v>20</v>
      </c>
      <c r="E140" s="25"/>
    </row>
    <row r="141" spans="1:5" ht="13.5" customHeight="1" thickBot="1" x14ac:dyDescent="0.4">
      <c r="A141" s="72"/>
      <c r="B141" s="22" t="s">
        <v>21</v>
      </c>
      <c r="C141" s="92">
        <v>0</v>
      </c>
      <c r="D141" s="27"/>
      <c r="E141" s="25"/>
    </row>
    <row r="142" spans="1:5" ht="18" customHeight="1" thickTop="1" x14ac:dyDescent="0.35">
      <c r="A142" s="18"/>
      <c r="B142" s="19" t="s">
        <v>97</v>
      </c>
      <c r="C142" s="105"/>
      <c r="D142" s="20"/>
      <c r="E142" s="21"/>
    </row>
    <row r="143" spans="1:5" ht="13.5" customHeight="1" x14ac:dyDescent="0.35">
      <c r="A143" s="28"/>
      <c r="B143" s="22" t="s">
        <v>93</v>
      </c>
      <c r="C143" s="92">
        <v>8</v>
      </c>
      <c r="D143" s="24"/>
      <c r="E143" s="25"/>
    </row>
    <row r="144" spans="1:5" ht="16.5" customHeight="1" x14ac:dyDescent="0.35">
      <c r="A144" s="28"/>
      <c r="B144" s="22" t="s">
        <v>19</v>
      </c>
      <c r="C144" s="104">
        <v>8</v>
      </c>
      <c r="D144" s="27" t="s">
        <v>20</v>
      </c>
      <c r="E144" s="25"/>
    </row>
    <row r="145" spans="1:5" ht="13.5" customHeight="1" thickBot="1" x14ac:dyDescent="0.4">
      <c r="A145" s="28"/>
      <c r="B145" s="22" t="s">
        <v>21</v>
      </c>
      <c r="C145" s="92">
        <f>+C144-C143</f>
        <v>0</v>
      </c>
      <c r="D145" s="27"/>
      <c r="E145" s="25"/>
    </row>
    <row r="146" spans="1:5" ht="18.75" customHeight="1" thickTop="1" thickBot="1" x14ac:dyDescent="0.4">
      <c r="A146" s="29">
        <v>2</v>
      </c>
      <c r="B146" s="30" t="s">
        <v>98</v>
      </c>
      <c r="C146" s="150" t="s">
        <v>24</v>
      </c>
      <c r="D146" s="151">
        <v>110</v>
      </c>
      <c r="E146" s="152">
        <v>0</v>
      </c>
    </row>
    <row r="147" spans="1:5" ht="17.25" customHeight="1" thickTop="1" thickBot="1" x14ac:dyDescent="0.4">
      <c r="A147" s="29">
        <v>3</v>
      </c>
      <c r="B147" s="30" t="s">
        <v>99</v>
      </c>
      <c r="C147" s="150" t="s">
        <v>24</v>
      </c>
      <c r="D147" s="151">
        <v>1100</v>
      </c>
      <c r="E147" s="152">
        <f>C135*D147</f>
        <v>-110000</v>
      </c>
    </row>
    <row r="148" spans="1:5" ht="15" customHeight="1" thickTop="1" thickBot="1" x14ac:dyDescent="0.4">
      <c r="A148" s="29">
        <v>4</v>
      </c>
      <c r="B148" s="30" t="s">
        <v>100</v>
      </c>
      <c r="C148" s="150" t="s">
        <v>24</v>
      </c>
      <c r="D148" s="151">
        <v>150</v>
      </c>
      <c r="E148" s="152">
        <v>0</v>
      </c>
    </row>
    <row r="149" spans="1:5" ht="14.25" customHeight="1" thickTop="1" thickBot="1" x14ac:dyDescent="0.4">
      <c r="A149" s="29">
        <v>5</v>
      </c>
      <c r="B149" s="30" t="s">
        <v>101</v>
      </c>
      <c r="C149" s="150" t="s">
        <v>24</v>
      </c>
      <c r="D149" s="151">
        <v>1650</v>
      </c>
      <c r="E149" s="152">
        <f>+D149*C145</f>
        <v>0</v>
      </c>
    </row>
    <row r="150" spans="1:5" ht="17.5" customHeight="1" thickTop="1" thickBot="1" x14ac:dyDescent="0.4">
      <c r="A150" s="34"/>
      <c r="B150" s="34"/>
      <c r="C150" s="153"/>
      <c r="D150" s="154" t="s">
        <v>25</v>
      </c>
      <c r="E150" s="152">
        <f>+E122+E146+E147+E148+E149</f>
        <v>1890000</v>
      </c>
    </row>
    <row r="151" spans="1:5" ht="16.5" customHeight="1" thickTop="1" thickBot="1" x14ac:dyDescent="0.4">
      <c r="A151" s="288" t="s">
        <v>26</v>
      </c>
      <c r="B151" s="289"/>
      <c r="C151" s="155"/>
      <c r="D151" s="156" t="s">
        <v>27</v>
      </c>
      <c r="E151" s="157"/>
    </row>
    <row r="152" spans="1:5" ht="19.5" customHeight="1" thickTop="1" thickBot="1" x14ac:dyDescent="0.4">
      <c r="A152" s="290" t="s">
        <v>45</v>
      </c>
      <c r="B152" s="291"/>
      <c r="C152" s="158"/>
      <c r="D152" s="156" t="s">
        <v>29</v>
      </c>
      <c r="E152" s="159">
        <f>+E150-E151</f>
        <v>1890000</v>
      </c>
    </row>
    <row r="153" spans="1:5" ht="13" customHeight="1" thickTop="1" x14ac:dyDescent="0.35">
      <c r="A153" s="290" t="s">
        <v>46</v>
      </c>
      <c r="B153" s="291"/>
      <c r="C153" s="158"/>
      <c r="D153" s="160"/>
      <c r="E153" s="161"/>
    </row>
    <row r="154" spans="1:5" ht="13" customHeight="1" x14ac:dyDescent="0.35">
      <c r="A154" s="292" t="s">
        <v>80</v>
      </c>
      <c r="B154" s="293"/>
      <c r="C154" s="158"/>
      <c r="D154" s="160"/>
      <c r="E154" s="161"/>
    </row>
    <row r="155" spans="1:5" ht="13" customHeight="1" x14ac:dyDescent="0.35">
      <c r="A155" s="292" t="s">
        <v>81</v>
      </c>
      <c r="B155" s="293"/>
      <c r="C155" s="158"/>
      <c r="D155" s="160"/>
      <c r="E155" s="161"/>
    </row>
    <row r="156" spans="1:5" ht="13" customHeight="1" x14ac:dyDescent="0.35">
      <c r="A156" s="294" t="s">
        <v>28</v>
      </c>
      <c r="B156" s="295"/>
      <c r="C156" s="162"/>
      <c r="D156" s="162"/>
      <c r="E156" s="163"/>
    </row>
    <row r="157" spans="1:5" ht="13" customHeight="1" thickBot="1" x14ac:dyDescent="0.4">
      <c r="A157" s="296" t="s">
        <v>30</v>
      </c>
      <c r="B157" s="297"/>
      <c r="C157" s="162"/>
      <c r="D157" s="162"/>
      <c r="E157" s="163"/>
    </row>
    <row r="158" spans="1:5" ht="13.5" customHeight="1" thickTop="1" x14ac:dyDescent="0.35">
      <c r="A158" s="139"/>
      <c r="B158" s="139"/>
      <c r="C158" s="164"/>
      <c r="D158" s="164"/>
      <c r="E158" s="164"/>
    </row>
    <row r="159" spans="1:5" ht="13.5" customHeight="1" x14ac:dyDescent="0.35">
      <c r="A159" s="298" t="s">
        <v>33</v>
      </c>
      <c r="B159" s="298"/>
      <c r="C159" s="286" t="s">
        <v>1</v>
      </c>
      <c r="D159" s="286"/>
      <c r="E159" s="286"/>
    </row>
    <row r="160" spans="1:5" ht="13.5" customHeight="1" x14ac:dyDescent="0.35">
      <c r="A160" s="140"/>
      <c r="B160" s="140"/>
      <c r="C160" s="165"/>
      <c r="D160" s="165"/>
      <c r="E160" s="166"/>
    </row>
    <row r="161" spans="1:5" ht="16.5" customHeight="1" x14ac:dyDescent="0.35">
      <c r="A161" s="140"/>
      <c r="B161" s="140"/>
      <c r="C161" s="165"/>
      <c r="D161" s="165"/>
      <c r="E161" s="166"/>
    </row>
    <row r="162" spans="1:5" x14ac:dyDescent="0.35">
      <c r="A162" s="140"/>
      <c r="B162" s="140"/>
      <c r="C162" s="165"/>
      <c r="D162" s="165"/>
      <c r="E162" s="166"/>
    </row>
    <row r="163" spans="1:5" x14ac:dyDescent="0.35">
      <c r="A163" s="285" t="s">
        <v>34</v>
      </c>
      <c r="B163" s="285"/>
      <c r="C163" s="286" t="s">
        <v>149</v>
      </c>
      <c r="D163" s="286"/>
      <c r="E163" s="286"/>
    </row>
    <row r="164" spans="1:5" x14ac:dyDescent="0.35">
      <c r="A164" s="140"/>
      <c r="B164" s="140"/>
      <c r="C164" s="287" t="s">
        <v>170</v>
      </c>
      <c r="D164" s="287"/>
      <c r="E164" s="287"/>
    </row>
    <row r="165" spans="1:5" ht="15" thickBot="1" x14ac:dyDescent="0.4">
      <c r="A165" s="140"/>
      <c r="B165" s="140"/>
      <c r="C165" s="203"/>
      <c r="D165" s="203"/>
      <c r="E165" s="203"/>
    </row>
    <row r="166" spans="1:5" ht="15.5" thickTop="1" thickBot="1" x14ac:dyDescent="0.4">
      <c r="A166" s="299" t="s">
        <v>1</v>
      </c>
      <c r="B166" s="300"/>
      <c r="C166" s="3"/>
      <c r="D166" s="96" t="s">
        <v>0</v>
      </c>
      <c r="E166" s="97" t="s">
        <v>166</v>
      </c>
    </row>
    <row r="167" spans="1:5" ht="15.5" thickTop="1" thickBot="1" x14ac:dyDescent="0.4">
      <c r="A167" s="301"/>
      <c r="B167" s="302"/>
      <c r="C167" s="3"/>
      <c r="D167" s="98" t="s">
        <v>2</v>
      </c>
      <c r="E167" s="97">
        <v>45968</v>
      </c>
    </row>
    <row r="168" spans="1:5" ht="21.75" customHeight="1" thickTop="1" thickBot="1" x14ac:dyDescent="0.4">
      <c r="A168" s="303" t="s">
        <v>104</v>
      </c>
      <c r="B168" s="304"/>
      <c r="C168" s="3"/>
      <c r="D168" s="99" t="s">
        <v>4</v>
      </c>
      <c r="E168" s="100"/>
    </row>
    <row r="169" spans="1:5" ht="22.5" customHeight="1" thickTop="1" thickBot="1" x14ac:dyDescent="0.4">
      <c r="A169" s="303" t="s">
        <v>77</v>
      </c>
      <c r="B169" s="304"/>
      <c r="C169" s="3"/>
      <c r="D169" s="101" t="s">
        <v>90</v>
      </c>
      <c r="E169" s="100"/>
    </row>
    <row r="170" spans="1:5" ht="24.75" customHeight="1" thickTop="1" x14ac:dyDescent="0.35">
      <c r="A170" s="303" t="s">
        <v>78</v>
      </c>
      <c r="B170" s="304"/>
      <c r="C170" s="3"/>
      <c r="D170" s="305" t="s">
        <v>86</v>
      </c>
      <c r="E170" s="306"/>
    </row>
    <row r="171" spans="1:5" ht="33" customHeight="1" thickBot="1" x14ac:dyDescent="0.4">
      <c r="A171" s="309" t="s">
        <v>11</v>
      </c>
      <c r="B171" s="310"/>
      <c r="D171" s="307"/>
      <c r="E171" s="308"/>
    </row>
    <row r="172" spans="1:5" ht="15.5" thickTop="1" thickBot="1" x14ac:dyDescent="0.4">
      <c r="A172" s="311" t="s">
        <v>79</v>
      </c>
      <c r="B172" s="312"/>
      <c r="C172" s="3"/>
      <c r="D172" s="99" t="s">
        <v>88</v>
      </c>
      <c r="E172" s="100" t="s">
        <v>89</v>
      </c>
    </row>
    <row r="173" spans="1:5" ht="15" thickTop="1" x14ac:dyDescent="0.35">
      <c r="A173" s="13"/>
      <c r="B173" s="13"/>
      <c r="C173" s="3"/>
      <c r="D173" s="14"/>
      <c r="E173" s="14"/>
    </row>
    <row r="174" spans="1:5" ht="31" customHeight="1" x14ac:dyDescent="0.55000000000000004">
      <c r="A174" s="223" t="s">
        <v>87</v>
      </c>
      <c r="B174" s="223"/>
      <c r="C174" s="223"/>
      <c r="D174" s="223"/>
      <c r="E174" s="223"/>
    </row>
    <row r="175" spans="1:5" ht="15" thickBot="1" x14ac:dyDescent="0.4">
      <c r="A175" s="224" t="s">
        <v>168</v>
      </c>
      <c r="B175" s="224"/>
      <c r="C175" s="3"/>
      <c r="D175" s="3"/>
      <c r="E175" s="15"/>
    </row>
    <row r="176" spans="1:5" ht="15.5" thickTop="1" thickBot="1" x14ac:dyDescent="0.4">
      <c r="A176" s="16" t="s">
        <v>14</v>
      </c>
      <c r="B176" s="69" t="s">
        <v>15</v>
      </c>
      <c r="C176" s="70"/>
      <c r="D176" s="79"/>
      <c r="E176" s="17" t="s">
        <v>16</v>
      </c>
    </row>
    <row r="177" spans="1:5" ht="15" thickTop="1" x14ac:dyDescent="0.35">
      <c r="A177" s="71">
        <v>1</v>
      </c>
      <c r="B177" s="19" t="s">
        <v>85</v>
      </c>
      <c r="C177" s="20"/>
      <c r="D177" s="20"/>
      <c r="E177" s="21">
        <v>2000000</v>
      </c>
    </row>
    <row r="178" spans="1:5" x14ac:dyDescent="0.35">
      <c r="A178" s="72"/>
      <c r="B178" s="53" t="s">
        <v>84</v>
      </c>
      <c r="C178" s="34"/>
      <c r="D178" s="34"/>
      <c r="E178" s="25"/>
    </row>
    <row r="179" spans="1:5" x14ac:dyDescent="0.35">
      <c r="A179" s="72"/>
      <c r="B179" s="53" t="s">
        <v>82</v>
      </c>
      <c r="C179" s="34"/>
      <c r="D179" s="34"/>
      <c r="E179" s="25"/>
    </row>
    <row r="180" spans="1:5" x14ac:dyDescent="0.35">
      <c r="A180" s="72"/>
      <c r="B180" s="22" t="s">
        <v>92</v>
      </c>
      <c r="C180" s="23">
        <f>'Meterading 2025'!B72</f>
        <v>12783</v>
      </c>
      <c r="D180" s="24"/>
      <c r="E180" s="25"/>
    </row>
    <row r="181" spans="1:5" x14ac:dyDescent="0.35">
      <c r="A181" s="72"/>
      <c r="B181" s="143" t="s">
        <v>19</v>
      </c>
      <c r="C181" s="149">
        <f>'Meterading 2025'!C72</f>
        <v>13170</v>
      </c>
      <c r="D181" s="144" t="s">
        <v>20</v>
      </c>
      <c r="E181" s="25"/>
    </row>
    <row r="182" spans="1:5" x14ac:dyDescent="0.35">
      <c r="A182" s="72"/>
      <c r="B182" s="143" t="s">
        <v>21</v>
      </c>
      <c r="C182" s="67">
        <f>C181-C180</f>
        <v>387</v>
      </c>
      <c r="D182" s="144"/>
      <c r="E182" s="25"/>
    </row>
    <row r="183" spans="1:5" x14ac:dyDescent="0.35">
      <c r="A183" s="72"/>
      <c r="B183" s="143" t="s">
        <v>22</v>
      </c>
      <c r="C183" s="149">
        <v>3000</v>
      </c>
      <c r="D183" s="144" t="s">
        <v>20</v>
      </c>
      <c r="E183" s="25"/>
    </row>
    <row r="184" spans="1:5" ht="15" thickBot="1" x14ac:dyDescent="0.4">
      <c r="A184" s="72"/>
      <c r="B184" s="143" t="s">
        <v>21</v>
      </c>
      <c r="C184" s="67">
        <f>C182-C183</f>
        <v>-2613</v>
      </c>
      <c r="D184" s="144"/>
      <c r="E184" s="25"/>
    </row>
    <row r="185" spans="1:5" ht="15" thickTop="1" x14ac:dyDescent="0.35">
      <c r="A185" s="18"/>
      <c r="B185" s="102" t="s">
        <v>96</v>
      </c>
      <c r="C185" s="20"/>
      <c r="D185" s="103"/>
      <c r="E185" s="21"/>
    </row>
    <row r="186" spans="1:5" x14ac:dyDescent="0.35">
      <c r="A186" s="28"/>
      <c r="B186" s="143" t="s">
        <v>93</v>
      </c>
      <c r="C186" s="23">
        <f>'Meterading 2025'!F72</f>
        <v>12158</v>
      </c>
      <c r="D186" s="145"/>
      <c r="E186" s="25"/>
    </row>
    <row r="187" spans="1:5" ht="17.25" customHeight="1" x14ac:dyDescent="0.35">
      <c r="A187" s="28"/>
      <c r="B187" s="143" t="s">
        <v>19</v>
      </c>
      <c r="C187" s="149">
        <f>'Meterading 2025'!G72</f>
        <v>12646</v>
      </c>
      <c r="D187" s="144" t="s">
        <v>20</v>
      </c>
      <c r="E187" s="25"/>
    </row>
    <row r="188" spans="1:5" x14ac:dyDescent="0.35">
      <c r="A188" s="28"/>
      <c r="B188" s="143" t="s">
        <v>21</v>
      </c>
      <c r="C188" s="67">
        <f>C187-C186</f>
        <v>488</v>
      </c>
      <c r="D188" s="144"/>
      <c r="E188" s="25"/>
    </row>
    <row r="189" spans="1:5" ht="16.5" customHeight="1" x14ac:dyDescent="0.35">
      <c r="A189" s="28"/>
      <c r="B189" s="143" t="s">
        <v>22</v>
      </c>
      <c r="C189" s="149">
        <v>100</v>
      </c>
      <c r="D189" s="144" t="s">
        <v>20</v>
      </c>
      <c r="E189" s="25"/>
    </row>
    <row r="190" spans="1:5" ht="17.25" customHeight="1" thickBot="1" x14ac:dyDescent="0.4">
      <c r="A190" s="28"/>
      <c r="B190" s="146" t="s">
        <v>21</v>
      </c>
      <c r="C190" s="147">
        <f>+C188-C189</f>
        <v>388</v>
      </c>
      <c r="D190" s="148"/>
      <c r="E190" s="25"/>
    </row>
    <row r="191" spans="1:5" ht="15" thickTop="1" x14ac:dyDescent="0.35">
      <c r="A191" s="72"/>
      <c r="B191" s="141" t="s">
        <v>94</v>
      </c>
      <c r="C191" s="34"/>
      <c r="D191" s="142"/>
      <c r="E191" s="103"/>
    </row>
    <row r="192" spans="1:5" x14ac:dyDescent="0.35">
      <c r="A192" s="72"/>
      <c r="B192" s="22" t="s">
        <v>92</v>
      </c>
      <c r="C192" s="92">
        <v>6</v>
      </c>
      <c r="D192" s="24"/>
      <c r="E192" s="25"/>
    </row>
    <row r="193" spans="1:5" x14ac:dyDescent="0.35">
      <c r="A193" s="72"/>
      <c r="B193" s="22" t="s">
        <v>19</v>
      </c>
      <c r="C193" s="104">
        <v>6</v>
      </c>
      <c r="D193" s="27" t="s">
        <v>20</v>
      </c>
      <c r="E193" s="25"/>
    </row>
    <row r="194" spans="1:5" x14ac:dyDescent="0.35">
      <c r="A194" s="72"/>
      <c r="B194" s="22" t="s">
        <v>21</v>
      </c>
      <c r="C194" s="92">
        <f>+C193-C192</f>
        <v>0</v>
      </c>
      <c r="D194" s="27"/>
      <c r="E194" s="25"/>
    </row>
    <row r="195" spans="1:5" ht="15" customHeight="1" x14ac:dyDescent="0.35">
      <c r="A195" s="72"/>
      <c r="B195" s="22" t="s">
        <v>22</v>
      </c>
      <c r="C195" s="104">
        <v>0</v>
      </c>
      <c r="D195" s="27" t="s">
        <v>20</v>
      </c>
      <c r="E195" s="25"/>
    </row>
    <row r="196" spans="1:5" ht="13.5" customHeight="1" thickBot="1" x14ac:dyDescent="0.4">
      <c r="A196" s="72"/>
      <c r="B196" s="22" t="s">
        <v>21</v>
      </c>
      <c r="C196" s="92">
        <v>0</v>
      </c>
      <c r="D196" s="27"/>
      <c r="E196" s="25"/>
    </row>
    <row r="197" spans="1:5" ht="18" customHeight="1" thickTop="1" x14ac:dyDescent="0.35">
      <c r="A197" s="18"/>
      <c r="B197" s="19" t="s">
        <v>97</v>
      </c>
      <c r="C197" s="105"/>
      <c r="D197" s="20"/>
      <c r="E197" s="21"/>
    </row>
    <row r="198" spans="1:5" ht="13.5" customHeight="1" x14ac:dyDescent="0.35">
      <c r="A198" s="28"/>
      <c r="B198" s="22" t="s">
        <v>93</v>
      </c>
      <c r="C198" s="92">
        <v>8</v>
      </c>
      <c r="D198" s="24"/>
      <c r="E198" s="25"/>
    </row>
    <row r="199" spans="1:5" ht="16.5" customHeight="1" x14ac:dyDescent="0.35">
      <c r="A199" s="28"/>
      <c r="B199" s="22" t="s">
        <v>19</v>
      </c>
      <c r="C199" s="104">
        <v>8</v>
      </c>
      <c r="D199" s="27" t="s">
        <v>20</v>
      </c>
      <c r="E199" s="25"/>
    </row>
    <row r="200" spans="1:5" ht="13.5" customHeight="1" thickBot="1" x14ac:dyDescent="0.4">
      <c r="A200" s="28"/>
      <c r="B200" s="22" t="s">
        <v>21</v>
      </c>
      <c r="C200" s="92">
        <f>+C199-C198</f>
        <v>0</v>
      </c>
      <c r="D200" s="27"/>
      <c r="E200" s="25"/>
    </row>
    <row r="201" spans="1:5" ht="18.75" customHeight="1" thickTop="1" thickBot="1" x14ac:dyDescent="0.4">
      <c r="A201" s="29">
        <v>2</v>
      </c>
      <c r="B201" s="30" t="s">
        <v>98</v>
      </c>
      <c r="C201" s="150" t="s">
        <v>24</v>
      </c>
      <c r="D201" s="151">
        <v>110</v>
      </c>
      <c r="E201" s="152">
        <v>0</v>
      </c>
    </row>
    <row r="202" spans="1:5" ht="17.25" customHeight="1" thickTop="1" thickBot="1" x14ac:dyDescent="0.4">
      <c r="A202" s="29">
        <v>3</v>
      </c>
      <c r="B202" s="30" t="s">
        <v>99</v>
      </c>
      <c r="C202" s="150" t="s">
        <v>24</v>
      </c>
      <c r="D202" s="151">
        <v>1100</v>
      </c>
      <c r="E202" s="152">
        <f>C190*D202</f>
        <v>426800</v>
      </c>
    </row>
    <row r="203" spans="1:5" ht="15" customHeight="1" thickTop="1" thickBot="1" x14ac:dyDescent="0.4">
      <c r="A203" s="29">
        <v>4</v>
      </c>
      <c r="B203" s="30" t="s">
        <v>100</v>
      </c>
      <c r="C203" s="150" t="s">
        <v>24</v>
      </c>
      <c r="D203" s="151">
        <v>150</v>
      </c>
      <c r="E203" s="152">
        <v>0</v>
      </c>
    </row>
    <row r="204" spans="1:5" ht="14.25" customHeight="1" thickTop="1" thickBot="1" x14ac:dyDescent="0.4">
      <c r="A204" s="29">
        <v>5</v>
      </c>
      <c r="B204" s="30" t="s">
        <v>101</v>
      </c>
      <c r="C204" s="150" t="s">
        <v>24</v>
      </c>
      <c r="D204" s="151">
        <v>1650</v>
      </c>
      <c r="E204" s="152">
        <f>+D204*C200</f>
        <v>0</v>
      </c>
    </row>
    <row r="205" spans="1:5" ht="17.5" customHeight="1" thickTop="1" thickBot="1" x14ac:dyDescent="0.4">
      <c r="A205" s="34"/>
      <c r="B205" s="34"/>
      <c r="C205" s="153"/>
      <c r="D205" s="154" t="s">
        <v>25</v>
      </c>
      <c r="E205" s="152">
        <f>+E177+E201+E202+E203+E204</f>
        <v>2426800</v>
      </c>
    </row>
    <row r="206" spans="1:5" ht="16.5" customHeight="1" thickTop="1" thickBot="1" x14ac:dyDescent="0.4">
      <c r="A206" s="288" t="s">
        <v>26</v>
      </c>
      <c r="B206" s="289"/>
      <c r="C206" s="155"/>
      <c r="D206" s="156" t="s">
        <v>27</v>
      </c>
      <c r="E206" s="157"/>
    </row>
    <row r="207" spans="1:5" ht="19.5" customHeight="1" thickTop="1" thickBot="1" x14ac:dyDescent="0.4">
      <c r="A207" s="290" t="s">
        <v>45</v>
      </c>
      <c r="B207" s="291"/>
      <c r="C207" s="158"/>
      <c r="D207" s="156" t="s">
        <v>29</v>
      </c>
      <c r="E207" s="159">
        <f>+E205-E206</f>
        <v>2426800</v>
      </c>
    </row>
    <row r="208" spans="1:5" ht="13" customHeight="1" thickTop="1" x14ac:dyDescent="0.35">
      <c r="A208" s="290" t="s">
        <v>46</v>
      </c>
      <c r="B208" s="291"/>
      <c r="C208" s="158"/>
      <c r="D208" s="160"/>
      <c r="E208" s="161"/>
    </row>
    <row r="209" spans="1:10" ht="13" customHeight="1" x14ac:dyDescent="0.35">
      <c r="A209" s="292" t="s">
        <v>80</v>
      </c>
      <c r="B209" s="293"/>
      <c r="C209" s="158"/>
      <c r="D209" s="160"/>
      <c r="E209" s="161"/>
    </row>
    <row r="210" spans="1:10" ht="13" customHeight="1" x14ac:dyDescent="0.35">
      <c r="A210" s="292" t="s">
        <v>81</v>
      </c>
      <c r="B210" s="293"/>
      <c r="C210" s="158"/>
      <c r="D210" s="160"/>
      <c r="E210" s="161"/>
    </row>
    <row r="211" spans="1:10" ht="13" customHeight="1" x14ac:dyDescent="0.35">
      <c r="A211" s="294" t="s">
        <v>28</v>
      </c>
      <c r="B211" s="295"/>
      <c r="C211" s="162"/>
      <c r="D211" s="162"/>
      <c r="E211" s="163"/>
    </row>
    <row r="212" spans="1:10" ht="13" customHeight="1" thickBot="1" x14ac:dyDescent="0.4">
      <c r="A212" s="296" t="s">
        <v>30</v>
      </c>
      <c r="B212" s="297"/>
      <c r="C212" s="162"/>
      <c r="D212" s="162"/>
      <c r="E212" s="163"/>
    </row>
    <row r="213" spans="1:10" ht="13.5" customHeight="1" thickTop="1" x14ac:dyDescent="0.35">
      <c r="A213" s="139"/>
      <c r="B213" s="139"/>
      <c r="C213" s="164"/>
      <c r="D213" s="164"/>
      <c r="E213" s="164"/>
    </row>
    <row r="214" spans="1:10" ht="13.5" customHeight="1" x14ac:dyDescent="0.35">
      <c r="A214" s="298" t="s">
        <v>33</v>
      </c>
      <c r="B214" s="298"/>
      <c r="C214" s="286" t="s">
        <v>1</v>
      </c>
      <c r="D214" s="286"/>
      <c r="E214" s="286"/>
    </row>
    <row r="215" spans="1:10" ht="13.5" customHeight="1" x14ac:dyDescent="0.35">
      <c r="A215" s="140"/>
      <c r="B215" s="140"/>
      <c r="C215" s="165"/>
      <c r="D215" s="165"/>
      <c r="E215" s="166"/>
    </row>
    <row r="216" spans="1:10" ht="16.5" customHeight="1" x14ac:dyDescent="0.35">
      <c r="A216" s="140"/>
      <c r="B216" s="140"/>
      <c r="C216" s="165"/>
      <c r="D216" s="165"/>
      <c r="E216" s="166"/>
    </row>
    <row r="217" spans="1:10" x14ac:dyDescent="0.35">
      <c r="A217" s="140"/>
      <c r="B217" s="140"/>
      <c r="C217" s="165"/>
      <c r="D217" s="165"/>
      <c r="E217" s="166"/>
    </row>
    <row r="218" spans="1:10" x14ac:dyDescent="0.35">
      <c r="A218" s="285" t="s">
        <v>34</v>
      </c>
      <c r="B218" s="285"/>
      <c r="C218" s="286" t="s">
        <v>149</v>
      </c>
      <c r="D218" s="286"/>
      <c r="E218" s="286"/>
    </row>
    <row r="219" spans="1:10" x14ac:dyDescent="0.35">
      <c r="A219" s="140"/>
      <c r="B219" s="140"/>
      <c r="C219" s="287" t="s">
        <v>170</v>
      </c>
      <c r="D219" s="287"/>
      <c r="E219" s="287"/>
    </row>
    <row r="220" spans="1:10" ht="15" thickBot="1" x14ac:dyDescent="0.4">
      <c r="C220" s="167"/>
      <c r="D220" s="168"/>
      <c r="E220" s="168"/>
    </row>
    <row r="221" spans="1:10" ht="15.5" thickTop="1" thickBot="1" x14ac:dyDescent="0.4">
      <c r="A221" s="266" t="s">
        <v>1</v>
      </c>
      <c r="B221" s="267"/>
      <c r="C221" s="169"/>
      <c r="D221" s="96" t="s">
        <v>0</v>
      </c>
      <c r="E221" s="97" t="s">
        <v>152</v>
      </c>
      <c r="I221" s="285"/>
      <c r="J221" s="285"/>
    </row>
    <row r="222" spans="1:10" ht="15.5" thickTop="1" thickBot="1" x14ac:dyDescent="0.4">
      <c r="A222" s="254"/>
      <c r="B222" s="255"/>
      <c r="C222" s="3"/>
      <c r="D222" s="98" t="s">
        <v>2</v>
      </c>
      <c r="E222" s="97">
        <v>45936</v>
      </c>
    </row>
    <row r="223" spans="1:10" ht="21.75" customHeight="1" thickTop="1" thickBot="1" x14ac:dyDescent="0.4">
      <c r="A223" s="256" t="s">
        <v>104</v>
      </c>
      <c r="B223" s="257"/>
      <c r="C223" s="3"/>
      <c r="D223" s="99" t="s">
        <v>4</v>
      </c>
      <c r="E223" s="100"/>
    </row>
    <row r="224" spans="1:10" ht="22.5" customHeight="1" thickTop="1" thickBot="1" x14ac:dyDescent="0.4">
      <c r="A224" s="256" t="s">
        <v>77</v>
      </c>
      <c r="B224" s="257"/>
      <c r="C224" s="3"/>
      <c r="D224" s="101" t="s">
        <v>90</v>
      </c>
      <c r="E224" s="100"/>
    </row>
    <row r="225" spans="1:10" ht="24.75" customHeight="1" thickTop="1" x14ac:dyDescent="0.35">
      <c r="A225" s="256" t="s">
        <v>78</v>
      </c>
      <c r="B225" s="257"/>
      <c r="C225" s="3"/>
      <c r="D225" s="305" t="s">
        <v>86</v>
      </c>
      <c r="E225" s="306"/>
    </row>
    <row r="226" spans="1:10" ht="33" customHeight="1" thickBot="1" x14ac:dyDescent="0.4">
      <c r="A226" s="243" t="s">
        <v>11</v>
      </c>
      <c r="B226" s="244"/>
      <c r="D226" s="307"/>
      <c r="E226" s="308"/>
    </row>
    <row r="227" spans="1:10" ht="15.5" thickTop="1" thickBot="1" x14ac:dyDescent="0.4">
      <c r="A227" s="219" t="s">
        <v>79</v>
      </c>
      <c r="B227" s="220"/>
      <c r="C227" s="3"/>
      <c r="D227" s="99" t="s">
        <v>88</v>
      </c>
      <c r="E227" s="100" t="s">
        <v>89</v>
      </c>
    </row>
    <row r="228" spans="1:10" ht="15" thickTop="1" x14ac:dyDescent="0.35">
      <c r="A228" s="13"/>
      <c r="B228" s="13"/>
      <c r="C228" s="3"/>
      <c r="D228" s="14"/>
      <c r="E228" s="14"/>
    </row>
    <row r="229" spans="1:10" ht="29.5" x14ac:dyDescent="0.55000000000000004">
      <c r="A229" s="223" t="s">
        <v>87</v>
      </c>
      <c r="B229" s="223"/>
      <c r="C229" s="223"/>
      <c r="D229" s="223"/>
      <c r="E229" s="223"/>
    </row>
    <row r="230" spans="1:10" ht="15" thickBot="1" x14ac:dyDescent="0.4">
      <c r="A230" s="224" t="s">
        <v>155</v>
      </c>
      <c r="B230" s="224"/>
      <c r="C230" s="3"/>
      <c r="D230" s="3"/>
      <c r="E230" s="15"/>
    </row>
    <row r="231" spans="1:10" ht="15.5" thickTop="1" thickBot="1" x14ac:dyDescent="0.4">
      <c r="A231" s="16" t="s">
        <v>14</v>
      </c>
      <c r="B231" s="69" t="s">
        <v>15</v>
      </c>
      <c r="C231" s="70"/>
      <c r="D231" s="79"/>
      <c r="E231" s="17" t="s">
        <v>16</v>
      </c>
    </row>
    <row r="232" spans="1:10" ht="15" thickTop="1" x14ac:dyDescent="0.35">
      <c r="A232" s="71">
        <v>1</v>
      </c>
      <c r="B232" s="19" t="s">
        <v>85</v>
      </c>
      <c r="C232" s="20"/>
      <c r="D232" s="20"/>
      <c r="E232" s="21">
        <v>2000000</v>
      </c>
    </row>
    <row r="233" spans="1:10" x14ac:dyDescent="0.35">
      <c r="A233" s="72"/>
      <c r="B233" s="53" t="s">
        <v>84</v>
      </c>
      <c r="C233" s="34"/>
      <c r="D233" s="34"/>
      <c r="E233" s="25"/>
    </row>
    <row r="234" spans="1:10" x14ac:dyDescent="0.35">
      <c r="A234" s="72"/>
      <c r="B234" s="53" t="s">
        <v>82</v>
      </c>
      <c r="C234" s="34"/>
      <c r="D234" s="34"/>
      <c r="E234" s="25"/>
    </row>
    <row r="235" spans="1:10" x14ac:dyDescent="0.35">
      <c r="A235" s="72"/>
      <c r="B235" s="22" t="s">
        <v>92</v>
      </c>
      <c r="C235" s="23">
        <f>'Meterading 2025'!B71</f>
        <v>12471</v>
      </c>
      <c r="D235" s="24"/>
      <c r="E235" s="25"/>
    </row>
    <row r="236" spans="1:10" ht="15" x14ac:dyDescent="0.4">
      <c r="A236" s="72"/>
      <c r="B236" s="22" t="s">
        <v>19</v>
      </c>
      <c r="C236" s="26">
        <v>12783</v>
      </c>
      <c r="D236" s="27" t="s">
        <v>20</v>
      </c>
      <c r="E236" s="25"/>
    </row>
    <row r="237" spans="1:10" x14ac:dyDescent="0.35">
      <c r="A237" s="72"/>
      <c r="B237" s="22" t="s">
        <v>21</v>
      </c>
      <c r="C237" s="67">
        <f>+C236-C235</f>
        <v>312</v>
      </c>
      <c r="D237" s="27"/>
      <c r="E237" s="25"/>
    </row>
    <row r="238" spans="1:10" ht="15" x14ac:dyDescent="0.4">
      <c r="A238" s="72"/>
      <c r="B238" s="22" t="s">
        <v>22</v>
      </c>
      <c r="C238" s="91">
        <v>3000</v>
      </c>
      <c r="D238" s="27" t="s">
        <v>20</v>
      </c>
      <c r="E238" s="25"/>
    </row>
    <row r="239" spans="1:10" ht="15" thickBot="1" x14ac:dyDescent="0.4">
      <c r="A239" s="72"/>
      <c r="B239" s="22" t="s">
        <v>21</v>
      </c>
      <c r="C239" s="67">
        <f>C238-C237</f>
        <v>2688</v>
      </c>
      <c r="D239" s="27"/>
      <c r="E239" s="25"/>
      <c r="I239" t="s">
        <v>174</v>
      </c>
      <c r="J239" s="134"/>
    </row>
    <row r="240" spans="1:10" ht="15" thickTop="1" x14ac:dyDescent="0.35">
      <c r="A240" s="18"/>
      <c r="B240" s="19" t="s">
        <v>96</v>
      </c>
      <c r="C240" s="20"/>
      <c r="D240" s="20"/>
      <c r="E240" s="21"/>
      <c r="J240" s="134"/>
    </row>
    <row r="241" spans="1:16" x14ac:dyDescent="0.35">
      <c r="A241" s="28"/>
      <c r="B241" s="22" t="s">
        <v>93</v>
      </c>
      <c r="C241" s="23">
        <f>'Meterading 2025'!F71</f>
        <v>11761</v>
      </c>
      <c r="D241" s="24"/>
      <c r="E241" s="25"/>
      <c r="J241" s="134"/>
    </row>
    <row r="242" spans="1:16" ht="17.25" customHeight="1" x14ac:dyDescent="0.4">
      <c r="A242" s="28"/>
      <c r="B242" s="22" t="s">
        <v>19</v>
      </c>
      <c r="C242" s="26">
        <v>12158</v>
      </c>
      <c r="D242" s="27" t="s">
        <v>20</v>
      </c>
      <c r="E242" s="25"/>
      <c r="I242" s="185" t="s">
        <v>175</v>
      </c>
      <c r="J242" s="191" t="s">
        <v>176</v>
      </c>
      <c r="K242" s="185" t="s">
        <v>177</v>
      </c>
      <c r="L242" s="185"/>
      <c r="M242" s="185"/>
      <c r="N242" s="185"/>
      <c r="O242" s="185"/>
    </row>
    <row r="243" spans="1:16" x14ac:dyDescent="0.35">
      <c r="A243" s="28"/>
      <c r="B243" s="22" t="s">
        <v>21</v>
      </c>
      <c r="C243" s="67">
        <f>+C242-C241</f>
        <v>397</v>
      </c>
      <c r="D243" s="27"/>
      <c r="E243" s="25"/>
      <c r="H243" t="s">
        <v>185</v>
      </c>
      <c r="I243" s="195">
        <f>C235</f>
        <v>12471</v>
      </c>
      <c r="J243" s="202">
        <f>C236</f>
        <v>12783</v>
      </c>
      <c r="K243">
        <f>J243-I243</f>
        <v>312</v>
      </c>
    </row>
    <row r="244" spans="1:16" ht="16.5" customHeight="1" x14ac:dyDescent="0.4">
      <c r="A244" s="28"/>
      <c r="B244" s="22" t="s">
        <v>22</v>
      </c>
      <c r="C244" s="26">
        <v>100</v>
      </c>
      <c r="D244" s="27" t="s">
        <v>20</v>
      </c>
      <c r="E244" s="25"/>
      <c r="H244" t="s">
        <v>186</v>
      </c>
      <c r="I244" s="195">
        <f>C241</f>
        <v>11761</v>
      </c>
      <c r="J244" s="202">
        <f>C242</f>
        <v>12158</v>
      </c>
      <c r="K244" s="188">
        <f>J244-I244</f>
        <v>397</v>
      </c>
    </row>
    <row r="245" spans="1:16" ht="17.25" customHeight="1" thickBot="1" x14ac:dyDescent="0.4">
      <c r="A245" s="28"/>
      <c r="B245" s="22" t="s">
        <v>21</v>
      </c>
      <c r="C245" s="67">
        <f>+C243-C244</f>
        <v>297</v>
      </c>
      <c r="D245" s="27"/>
      <c r="E245" s="25"/>
      <c r="J245" s="134"/>
    </row>
    <row r="246" spans="1:16" ht="15" thickTop="1" x14ac:dyDescent="0.35">
      <c r="A246" s="72"/>
      <c r="B246" s="102" t="s">
        <v>94</v>
      </c>
      <c r="C246" s="20"/>
      <c r="D246" s="103"/>
      <c r="E246" s="103"/>
      <c r="J246" s="134"/>
    </row>
    <row r="247" spans="1:16" x14ac:dyDescent="0.35">
      <c r="A247" s="72"/>
      <c r="B247" s="22" t="s">
        <v>92</v>
      </c>
      <c r="C247" s="92">
        <v>6</v>
      </c>
      <c r="D247" s="24"/>
      <c r="E247" s="25"/>
      <c r="J247" s="134"/>
      <c r="L247" s="192"/>
      <c r="M247" s="192"/>
      <c r="N247" s="192"/>
      <c r="O247" s="192"/>
      <c r="P247" s="192"/>
    </row>
    <row r="248" spans="1:16" ht="15" x14ac:dyDescent="0.4">
      <c r="A248" s="72"/>
      <c r="B248" s="22" t="s">
        <v>19</v>
      </c>
      <c r="C248" s="133">
        <v>6</v>
      </c>
      <c r="D248" s="27" t="s">
        <v>20</v>
      </c>
      <c r="E248" s="25"/>
      <c r="H248" t="s">
        <v>185</v>
      </c>
      <c r="I248">
        <f>K244</f>
        <v>397</v>
      </c>
      <c r="J248" s="134" t="s">
        <v>183</v>
      </c>
      <c r="K248" s="190">
        <v>0.88</v>
      </c>
      <c r="L248" s="194" t="s">
        <v>184</v>
      </c>
      <c r="M248" s="192">
        <f>K248*I248</f>
        <v>349.36</v>
      </c>
      <c r="N248" s="194" t="s">
        <v>187</v>
      </c>
      <c r="O248" s="193">
        <f>K243</f>
        <v>312</v>
      </c>
      <c r="P248" s="188">
        <f>M248+O248</f>
        <v>661.36</v>
      </c>
    </row>
    <row r="249" spans="1:16" x14ac:dyDescent="0.35">
      <c r="A249" s="72"/>
      <c r="B249" s="22" t="s">
        <v>21</v>
      </c>
      <c r="C249" s="92">
        <f>+C248-C247</f>
        <v>0</v>
      </c>
      <c r="D249" s="27"/>
      <c r="E249" s="25"/>
      <c r="H249" t="s">
        <v>188</v>
      </c>
      <c r="I249">
        <f>I248</f>
        <v>397</v>
      </c>
      <c r="J249" s="134" t="s">
        <v>183</v>
      </c>
      <c r="K249" s="190">
        <v>0.12</v>
      </c>
      <c r="L249" s="194" t="s">
        <v>184</v>
      </c>
      <c r="M249" s="188">
        <f>K249*I249</f>
        <v>47.64</v>
      </c>
      <c r="N249" s="192"/>
      <c r="O249" s="192"/>
      <c r="P249" s="192"/>
    </row>
    <row r="250" spans="1:16" ht="15" customHeight="1" x14ac:dyDescent="0.35">
      <c r="A250" s="72"/>
      <c r="B250" s="22" t="s">
        <v>22</v>
      </c>
      <c r="C250" s="104">
        <v>2682</v>
      </c>
      <c r="D250" s="27" t="s">
        <v>20</v>
      </c>
      <c r="E250" s="25"/>
      <c r="J250" s="134"/>
      <c r="L250" s="192"/>
      <c r="M250" s="192"/>
      <c r="N250" s="192"/>
      <c r="O250" s="192"/>
      <c r="P250" s="192"/>
    </row>
    <row r="251" spans="1:16" ht="13.5" customHeight="1" thickBot="1" x14ac:dyDescent="0.4">
      <c r="A251" s="72"/>
      <c r="B251" s="22" t="s">
        <v>21</v>
      </c>
      <c r="C251" s="92"/>
      <c r="D251" s="27"/>
      <c r="E251" s="25"/>
    </row>
    <row r="252" spans="1:16" ht="18" customHeight="1" thickTop="1" x14ac:dyDescent="0.35">
      <c r="A252" s="18"/>
      <c r="B252" s="19" t="s">
        <v>97</v>
      </c>
      <c r="C252" s="105"/>
      <c r="D252" s="20"/>
      <c r="E252" s="21"/>
    </row>
    <row r="253" spans="1:16" ht="13.5" customHeight="1" x14ac:dyDescent="0.35">
      <c r="A253" s="28"/>
      <c r="B253" s="22" t="s">
        <v>93</v>
      </c>
      <c r="C253" s="92">
        <v>8</v>
      </c>
      <c r="D253" s="24"/>
      <c r="E253" s="25"/>
    </row>
    <row r="254" spans="1:16" ht="16.5" customHeight="1" x14ac:dyDescent="0.4">
      <c r="A254" s="28"/>
      <c r="B254" s="22" t="s">
        <v>19</v>
      </c>
      <c r="C254" s="133">
        <v>8</v>
      </c>
      <c r="D254" s="27" t="s">
        <v>20</v>
      </c>
      <c r="E254" s="25"/>
    </row>
    <row r="255" spans="1:16" ht="13.5" customHeight="1" thickBot="1" x14ac:dyDescent="0.4">
      <c r="A255" s="28"/>
      <c r="B255" s="22" t="s">
        <v>21</v>
      </c>
      <c r="C255" s="92">
        <f>+C254-C253</f>
        <v>0</v>
      </c>
      <c r="D255" s="27"/>
      <c r="E255" s="25"/>
    </row>
    <row r="256" spans="1:16" ht="18.75" customHeight="1" thickTop="1" thickBot="1" x14ac:dyDescent="0.4">
      <c r="A256" s="29">
        <v>2</v>
      </c>
      <c r="B256" s="30" t="s">
        <v>98</v>
      </c>
      <c r="C256" s="31" t="s">
        <v>24</v>
      </c>
      <c r="D256" s="32">
        <v>110</v>
      </c>
      <c r="E256" s="54">
        <f>+C239*D256</f>
        <v>295680</v>
      </c>
    </row>
    <row r="257" spans="1:5" ht="17.25" customHeight="1" thickTop="1" thickBot="1" x14ac:dyDescent="0.4">
      <c r="A257" s="29">
        <v>3</v>
      </c>
      <c r="B257" s="30" t="s">
        <v>99</v>
      </c>
      <c r="C257" s="31" t="s">
        <v>24</v>
      </c>
      <c r="D257" s="32">
        <v>1100</v>
      </c>
      <c r="E257" s="54">
        <f>+C245*D257</f>
        <v>326700</v>
      </c>
    </row>
    <row r="258" spans="1:5" ht="15" customHeight="1" thickTop="1" thickBot="1" x14ac:dyDescent="0.4">
      <c r="A258" s="29">
        <v>4</v>
      </c>
      <c r="B258" s="30" t="s">
        <v>100</v>
      </c>
      <c r="C258" s="31" t="s">
        <v>24</v>
      </c>
      <c r="D258" s="32">
        <v>150</v>
      </c>
      <c r="E258" s="54">
        <v>0</v>
      </c>
    </row>
    <row r="259" spans="1:5" ht="14.25" customHeight="1" thickTop="1" thickBot="1" x14ac:dyDescent="0.4">
      <c r="A259" s="29">
        <v>5</v>
      </c>
      <c r="B259" s="30" t="s">
        <v>101</v>
      </c>
      <c r="C259" s="31" t="s">
        <v>24</v>
      </c>
      <c r="D259" s="32">
        <v>1650</v>
      </c>
      <c r="E259" s="54">
        <f>+D259*C255</f>
        <v>0</v>
      </c>
    </row>
    <row r="260" spans="1:5" ht="21.75" customHeight="1" thickTop="1" thickBot="1" x14ac:dyDescent="0.4">
      <c r="A260" s="34"/>
      <c r="B260" s="34"/>
      <c r="C260" s="34"/>
      <c r="D260" s="86" t="s">
        <v>25</v>
      </c>
      <c r="E260" s="54">
        <f>+E232+E256+E257+E258+E259</f>
        <v>2622380</v>
      </c>
    </row>
    <row r="261" spans="1:5" ht="16.5" customHeight="1" thickTop="1" thickBot="1" x14ac:dyDescent="0.45">
      <c r="A261" s="231" t="s">
        <v>26</v>
      </c>
      <c r="B261" s="232"/>
      <c r="C261" s="34"/>
      <c r="D261" s="86" t="s">
        <v>27</v>
      </c>
      <c r="E261" s="84"/>
    </row>
    <row r="262" spans="1:5" ht="18" customHeight="1" thickTop="1" thickBot="1" x14ac:dyDescent="0.45">
      <c r="A262" s="233" t="s">
        <v>45</v>
      </c>
      <c r="B262" s="234"/>
      <c r="C262" s="41"/>
      <c r="D262" s="86" t="s">
        <v>29</v>
      </c>
      <c r="E262" s="85">
        <f>+E260-E261</f>
        <v>2622380</v>
      </c>
    </row>
    <row r="263" spans="1:5" ht="13.5" customHeight="1" thickTop="1" x14ac:dyDescent="0.4">
      <c r="A263" s="235" t="s">
        <v>46</v>
      </c>
      <c r="B263" s="236"/>
      <c r="C263" s="41"/>
      <c r="D263" s="35"/>
      <c r="E263" s="87"/>
    </row>
    <row r="264" spans="1:5" ht="13.5" customHeight="1" x14ac:dyDescent="0.4">
      <c r="A264" s="205" t="s">
        <v>80</v>
      </c>
      <c r="B264" s="206"/>
      <c r="C264" s="41"/>
      <c r="D264" s="35"/>
      <c r="E264" s="87"/>
    </row>
    <row r="265" spans="1:5" ht="13.5" customHeight="1" x14ac:dyDescent="0.4">
      <c r="A265" s="205" t="s">
        <v>81</v>
      </c>
      <c r="B265" s="206"/>
      <c r="C265" s="41"/>
      <c r="D265" s="35"/>
      <c r="E265" s="87"/>
    </row>
    <row r="266" spans="1:5" ht="17.25" customHeight="1" x14ac:dyDescent="0.35">
      <c r="A266" s="207" t="s">
        <v>28</v>
      </c>
      <c r="B266" s="208"/>
      <c r="C266" s="3"/>
      <c r="D266" s="3"/>
      <c r="E266" s="15"/>
    </row>
    <row r="267" spans="1:5" ht="13.5" customHeight="1" thickBot="1" x14ac:dyDescent="0.4">
      <c r="A267" s="209" t="s">
        <v>30</v>
      </c>
      <c r="B267" s="210"/>
      <c r="C267" s="3"/>
      <c r="D267" s="3"/>
      <c r="E267" s="15"/>
    </row>
    <row r="268" spans="1:5" ht="13.5" customHeight="1" thickTop="1" x14ac:dyDescent="0.35">
      <c r="A268" s="106"/>
      <c r="B268" s="106"/>
      <c r="C268" s="106"/>
      <c r="D268" s="106"/>
      <c r="E268" s="106"/>
    </row>
    <row r="269" spans="1:5" ht="13.5" customHeight="1" x14ac:dyDescent="0.35">
      <c r="A269" s="106"/>
      <c r="B269" s="106"/>
      <c r="C269" s="106"/>
      <c r="D269" s="106"/>
      <c r="E269" s="106"/>
    </row>
    <row r="270" spans="1:5" ht="13.5" customHeight="1" x14ac:dyDescent="0.35">
      <c r="A270" s="211" t="s">
        <v>33</v>
      </c>
      <c r="B270" s="211"/>
      <c r="C270" s="211" t="s">
        <v>1</v>
      </c>
      <c r="D270" s="211"/>
      <c r="E270" s="211"/>
    </row>
    <row r="271" spans="1:5" ht="13.5" customHeight="1" x14ac:dyDescent="0.35"/>
    <row r="272" spans="1:5" ht="16.5" customHeight="1" x14ac:dyDescent="0.35"/>
    <row r="274" spans="1:5" x14ac:dyDescent="0.35">
      <c r="A274" s="212" t="s">
        <v>34</v>
      </c>
      <c r="B274" s="212"/>
      <c r="C274" s="277" t="s">
        <v>149</v>
      </c>
      <c r="D274" s="277"/>
      <c r="E274" s="277"/>
    </row>
    <row r="275" spans="1:5" x14ac:dyDescent="0.35">
      <c r="D275" s="51" t="s">
        <v>162</v>
      </c>
      <c r="E275" s="51"/>
    </row>
    <row r="276" spans="1:5" ht="15" thickBot="1" x14ac:dyDescent="0.4">
      <c r="D276" s="51"/>
      <c r="E276" s="51"/>
    </row>
    <row r="277" spans="1:5" ht="15.5" thickTop="1" thickBot="1" x14ac:dyDescent="0.4">
      <c r="A277" s="266" t="s">
        <v>1</v>
      </c>
      <c r="B277" s="267"/>
      <c r="C277" s="3"/>
      <c r="D277" s="96" t="s">
        <v>0</v>
      </c>
      <c r="E277" s="97" t="s">
        <v>152</v>
      </c>
    </row>
    <row r="278" spans="1:5" ht="15.5" thickTop="1" thickBot="1" x14ac:dyDescent="0.4">
      <c r="A278" s="254"/>
      <c r="B278" s="255"/>
      <c r="C278" s="3"/>
      <c r="D278" s="98" t="s">
        <v>2</v>
      </c>
      <c r="E278" s="114">
        <v>45810</v>
      </c>
    </row>
    <row r="279" spans="1:5" ht="21.75" customHeight="1" thickTop="1" thickBot="1" x14ac:dyDescent="0.4">
      <c r="A279" s="256" t="s">
        <v>104</v>
      </c>
      <c r="B279" s="257"/>
      <c r="C279" s="3"/>
      <c r="D279" s="99" t="s">
        <v>4</v>
      </c>
      <c r="E279" s="100"/>
    </row>
    <row r="280" spans="1:5" ht="22.5" customHeight="1" thickTop="1" thickBot="1" x14ac:dyDescent="0.4">
      <c r="A280" s="256" t="s">
        <v>77</v>
      </c>
      <c r="B280" s="257"/>
      <c r="C280" s="3"/>
      <c r="D280" s="101" t="s">
        <v>90</v>
      </c>
      <c r="E280" s="100"/>
    </row>
    <row r="281" spans="1:5" ht="24.75" customHeight="1" thickTop="1" x14ac:dyDescent="0.35">
      <c r="A281" s="256" t="s">
        <v>78</v>
      </c>
      <c r="B281" s="257"/>
      <c r="C281" s="3"/>
      <c r="D281" s="305" t="s">
        <v>86</v>
      </c>
      <c r="E281" s="306"/>
    </row>
    <row r="282" spans="1:5" ht="33" customHeight="1" thickBot="1" x14ac:dyDescent="0.4">
      <c r="A282" s="243" t="s">
        <v>11</v>
      </c>
      <c r="B282" s="244"/>
      <c r="D282" s="307"/>
      <c r="E282" s="308"/>
    </row>
    <row r="283" spans="1:5" ht="15.5" thickTop="1" thickBot="1" x14ac:dyDescent="0.4">
      <c r="A283" s="219" t="s">
        <v>79</v>
      </c>
      <c r="B283" s="220"/>
      <c r="C283" s="3"/>
      <c r="D283" s="99" t="s">
        <v>88</v>
      </c>
      <c r="E283" s="100" t="s">
        <v>89</v>
      </c>
    </row>
    <row r="284" spans="1:5" ht="15" thickTop="1" x14ac:dyDescent="0.35">
      <c r="A284" s="13"/>
      <c r="B284" s="13"/>
      <c r="C284" s="3"/>
      <c r="D284" s="14"/>
      <c r="E284" s="14"/>
    </row>
    <row r="285" spans="1:5" ht="29.5" x14ac:dyDescent="0.55000000000000004">
      <c r="A285" s="223" t="s">
        <v>87</v>
      </c>
      <c r="B285" s="223"/>
      <c r="C285" s="223"/>
      <c r="D285" s="223"/>
      <c r="E285" s="223"/>
    </row>
    <row r="286" spans="1:5" ht="15" thickBot="1" x14ac:dyDescent="0.4">
      <c r="A286" s="224" t="s">
        <v>148</v>
      </c>
      <c r="B286" s="224"/>
      <c r="C286" s="3"/>
      <c r="D286" s="3"/>
      <c r="E286" s="15"/>
    </row>
    <row r="287" spans="1:5" ht="15.5" thickTop="1" thickBot="1" x14ac:dyDescent="0.4">
      <c r="A287" s="16" t="s">
        <v>14</v>
      </c>
      <c r="B287" s="69" t="s">
        <v>15</v>
      </c>
      <c r="C287" s="70"/>
      <c r="D287" s="79"/>
      <c r="E287" s="17" t="s">
        <v>16</v>
      </c>
    </row>
    <row r="288" spans="1:5" ht="15" thickTop="1" x14ac:dyDescent="0.35">
      <c r="A288" s="71">
        <v>1</v>
      </c>
      <c r="B288" s="19" t="s">
        <v>85</v>
      </c>
      <c r="C288" s="20"/>
      <c r="D288" s="20"/>
      <c r="E288" s="21">
        <v>2000000</v>
      </c>
    </row>
    <row r="289" spans="1:5" x14ac:dyDescent="0.35">
      <c r="A289" s="72"/>
      <c r="B289" s="53" t="s">
        <v>84</v>
      </c>
      <c r="C289" s="34"/>
      <c r="D289" s="34"/>
      <c r="E289" s="25"/>
    </row>
    <row r="290" spans="1:5" x14ac:dyDescent="0.35">
      <c r="A290" s="72"/>
      <c r="B290" s="53" t="s">
        <v>82</v>
      </c>
      <c r="C290" s="34"/>
      <c r="D290" s="34"/>
      <c r="E290" s="25"/>
    </row>
    <row r="291" spans="1:5" x14ac:dyDescent="0.35">
      <c r="A291" s="72"/>
      <c r="B291" s="22" t="s">
        <v>92</v>
      </c>
      <c r="C291" s="23">
        <v>10181</v>
      </c>
      <c r="D291" s="24"/>
      <c r="E291" s="25"/>
    </row>
    <row r="292" spans="1:5" ht="15" x14ac:dyDescent="0.4">
      <c r="A292" s="72"/>
      <c r="B292" s="22" t="s">
        <v>19</v>
      </c>
      <c r="C292" s="26">
        <v>10542</v>
      </c>
      <c r="D292" s="27" t="s">
        <v>20</v>
      </c>
      <c r="E292" s="25"/>
    </row>
    <row r="293" spans="1:5" x14ac:dyDescent="0.35">
      <c r="A293" s="72"/>
      <c r="B293" s="22" t="s">
        <v>21</v>
      </c>
      <c r="C293" s="67">
        <f>+C292-C291</f>
        <v>361</v>
      </c>
      <c r="D293" s="27"/>
      <c r="E293" s="25"/>
    </row>
    <row r="294" spans="1:5" ht="15" x14ac:dyDescent="0.4">
      <c r="A294" s="72"/>
      <c r="B294" s="22" t="s">
        <v>22</v>
      </c>
      <c r="C294" s="91">
        <v>3000</v>
      </c>
      <c r="D294" s="27" t="s">
        <v>20</v>
      </c>
      <c r="E294" s="25"/>
    </row>
    <row r="295" spans="1:5" ht="15" thickBot="1" x14ac:dyDescent="0.4">
      <c r="A295" s="72"/>
      <c r="B295" s="22" t="s">
        <v>21</v>
      </c>
      <c r="C295" s="67">
        <v>0</v>
      </c>
      <c r="D295" s="27"/>
      <c r="E295" s="25"/>
    </row>
    <row r="296" spans="1:5" ht="15" thickTop="1" x14ac:dyDescent="0.35">
      <c r="A296" s="18"/>
      <c r="B296" s="19" t="s">
        <v>96</v>
      </c>
      <c r="C296" s="20"/>
      <c r="D296" s="20"/>
      <c r="E296" s="21"/>
    </row>
    <row r="297" spans="1:5" x14ac:dyDescent="0.35">
      <c r="A297" s="28"/>
      <c r="B297" s="22" t="s">
        <v>93</v>
      </c>
      <c r="C297" s="23">
        <v>9057</v>
      </c>
      <c r="D297" s="24"/>
      <c r="E297" s="25"/>
    </row>
    <row r="298" spans="1:5" ht="17.25" customHeight="1" x14ac:dyDescent="0.4">
      <c r="A298" s="28"/>
      <c r="B298" s="22" t="s">
        <v>19</v>
      </c>
      <c r="C298" s="26">
        <v>9363</v>
      </c>
      <c r="D298" s="27" t="s">
        <v>20</v>
      </c>
      <c r="E298" s="25"/>
    </row>
    <row r="299" spans="1:5" x14ac:dyDescent="0.35">
      <c r="A299" s="28"/>
      <c r="B299" s="22" t="s">
        <v>21</v>
      </c>
      <c r="C299" s="67">
        <f>+C298-C297</f>
        <v>306</v>
      </c>
      <c r="D299" s="27"/>
      <c r="E299" s="25"/>
    </row>
    <row r="300" spans="1:5" ht="16.5" customHeight="1" x14ac:dyDescent="0.4">
      <c r="A300" s="28"/>
      <c r="B300" s="22" t="s">
        <v>22</v>
      </c>
      <c r="C300" s="26">
        <v>100</v>
      </c>
      <c r="D300" s="27" t="s">
        <v>20</v>
      </c>
      <c r="E300" s="25"/>
    </row>
    <row r="301" spans="1:5" ht="17.25" customHeight="1" thickBot="1" x14ac:dyDescent="0.4">
      <c r="A301" s="28"/>
      <c r="B301" s="22" t="s">
        <v>21</v>
      </c>
      <c r="C301" s="67">
        <f>+C299-C300</f>
        <v>206</v>
      </c>
      <c r="D301" s="27"/>
      <c r="E301" s="25"/>
    </row>
    <row r="302" spans="1:5" ht="15" thickTop="1" x14ac:dyDescent="0.35">
      <c r="A302" s="72"/>
      <c r="B302" s="102" t="s">
        <v>94</v>
      </c>
      <c r="C302" s="20"/>
      <c r="D302" s="103"/>
      <c r="E302" s="103"/>
    </row>
    <row r="303" spans="1:5" x14ac:dyDescent="0.35">
      <c r="A303" s="72"/>
      <c r="B303" s="22" t="s">
        <v>92</v>
      </c>
      <c r="C303" s="92">
        <v>5</v>
      </c>
      <c r="D303" s="24"/>
      <c r="E303" s="25"/>
    </row>
    <row r="304" spans="1:5" ht="15" x14ac:dyDescent="0.4">
      <c r="A304" s="72"/>
      <c r="B304" s="22" t="s">
        <v>19</v>
      </c>
      <c r="C304" s="93">
        <v>5</v>
      </c>
      <c r="D304" s="27" t="s">
        <v>20</v>
      </c>
      <c r="E304" s="25"/>
    </row>
    <row r="305" spans="1:5" x14ac:dyDescent="0.35">
      <c r="A305" s="72"/>
      <c r="B305" s="22" t="s">
        <v>21</v>
      </c>
      <c r="C305" s="92">
        <f>+C304-C303</f>
        <v>0</v>
      </c>
      <c r="D305" s="27"/>
      <c r="E305" s="25"/>
    </row>
    <row r="306" spans="1:5" ht="15" customHeight="1" x14ac:dyDescent="0.35">
      <c r="A306" s="72"/>
      <c r="B306" s="22" t="s">
        <v>22</v>
      </c>
      <c r="C306" s="104">
        <f>+C294-C293</f>
        <v>2639</v>
      </c>
      <c r="D306" s="27" t="s">
        <v>20</v>
      </c>
      <c r="E306" s="25"/>
    </row>
    <row r="307" spans="1:5" ht="13.5" customHeight="1" thickBot="1" x14ac:dyDescent="0.4">
      <c r="A307" s="72"/>
      <c r="B307" s="22" t="s">
        <v>21</v>
      </c>
      <c r="C307" s="92">
        <v>0</v>
      </c>
      <c r="D307" s="27"/>
      <c r="E307" s="25"/>
    </row>
    <row r="308" spans="1:5" ht="18" customHeight="1" thickTop="1" x14ac:dyDescent="0.35">
      <c r="A308" s="18"/>
      <c r="B308" s="19" t="s">
        <v>97</v>
      </c>
      <c r="C308" s="105"/>
      <c r="D308" s="20"/>
      <c r="E308" s="21"/>
    </row>
    <row r="309" spans="1:5" ht="13.5" customHeight="1" x14ac:dyDescent="0.35">
      <c r="A309" s="28"/>
      <c r="B309" s="22" t="s">
        <v>93</v>
      </c>
      <c r="C309" s="92">
        <v>5</v>
      </c>
      <c r="D309" s="24"/>
      <c r="E309" s="25"/>
    </row>
    <row r="310" spans="1:5" ht="16.5" customHeight="1" x14ac:dyDescent="0.4">
      <c r="A310" s="28"/>
      <c r="B310" s="22" t="s">
        <v>19</v>
      </c>
      <c r="C310" s="93">
        <v>5</v>
      </c>
      <c r="D310" s="27" t="s">
        <v>20</v>
      </c>
      <c r="E310" s="25"/>
    </row>
    <row r="311" spans="1:5" ht="13.5" customHeight="1" thickBot="1" x14ac:dyDescent="0.4">
      <c r="A311" s="28"/>
      <c r="B311" s="22" t="s">
        <v>21</v>
      </c>
      <c r="C311" s="92">
        <f>+C310-C309</f>
        <v>0</v>
      </c>
      <c r="D311" s="27"/>
      <c r="E311" s="25"/>
    </row>
    <row r="312" spans="1:5" ht="18.75" customHeight="1" thickTop="1" thickBot="1" x14ac:dyDescent="0.4">
      <c r="A312" s="29">
        <v>2</v>
      </c>
      <c r="B312" s="30" t="s">
        <v>98</v>
      </c>
      <c r="C312" s="31" t="s">
        <v>24</v>
      </c>
      <c r="D312" s="32">
        <v>110</v>
      </c>
      <c r="E312" s="54">
        <f>+C295*D312</f>
        <v>0</v>
      </c>
    </row>
    <row r="313" spans="1:5" ht="17.25" customHeight="1" thickTop="1" thickBot="1" x14ac:dyDescent="0.4">
      <c r="A313" s="29">
        <v>3</v>
      </c>
      <c r="B313" s="30" t="s">
        <v>99</v>
      </c>
      <c r="C313" s="31" t="s">
        <v>24</v>
      </c>
      <c r="D313" s="32">
        <v>1100</v>
      </c>
      <c r="E313" s="54">
        <f>+C301*D313</f>
        <v>226600</v>
      </c>
    </row>
    <row r="314" spans="1:5" ht="15" customHeight="1" thickTop="1" thickBot="1" x14ac:dyDescent="0.4">
      <c r="A314" s="29">
        <v>4</v>
      </c>
      <c r="B314" s="30" t="s">
        <v>100</v>
      </c>
      <c r="C314" s="31" t="s">
        <v>24</v>
      </c>
      <c r="D314" s="32">
        <v>150</v>
      </c>
      <c r="E314" s="54">
        <v>0</v>
      </c>
    </row>
    <row r="315" spans="1:5" ht="14.25" customHeight="1" thickTop="1" thickBot="1" x14ac:dyDescent="0.4">
      <c r="A315" s="29">
        <v>5</v>
      </c>
      <c r="B315" s="30" t="s">
        <v>101</v>
      </c>
      <c r="C315" s="31" t="s">
        <v>24</v>
      </c>
      <c r="D315" s="32">
        <v>1650</v>
      </c>
      <c r="E315" s="54">
        <f>+D315*C311</f>
        <v>0</v>
      </c>
    </row>
    <row r="316" spans="1:5" ht="21.75" customHeight="1" thickTop="1" thickBot="1" x14ac:dyDescent="0.4">
      <c r="A316" s="34"/>
      <c r="B316" s="34"/>
      <c r="C316" s="34"/>
      <c r="D316" s="86" t="s">
        <v>25</v>
      </c>
      <c r="E316" s="54">
        <f>+E288+E312+E313+E314+E315</f>
        <v>2226600</v>
      </c>
    </row>
    <row r="317" spans="1:5" ht="16.5" customHeight="1" thickTop="1" thickBot="1" x14ac:dyDescent="0.45">
      <c r="A317" s="231" t="s">
        <v>26</v>
      </c>
      <c r="B317" s="232"/>
      <c r="C317" s="34"/>
      <c r="D317" s="86" t="s">
        <v>27</v>
      </c>
      <c r="E317" s="84"/>
    </row>
    <row r="318" spans="1:5" ht="18" customHeight="1" thickTop="1" thickBot="1" x14ac:dyDescent="0.45">
      <c r="A318" s="233" t="s">
        <v>45</v>
      </c>
      <c r="B318" s="234"/>
      <c r="C318" s="41"/>
      <c r="D318" s="86" t="s">
        <v>29</v>
      </c>
      <c r="E318" s="85">
        <f>+E316-E317</f>
        <v>2226600</v>
      </c>
    </row>
    <row r="319" spans="1:5" ht="13.5" customHeight="1" thickTop="1" x14ac:dyDescent="0.4">
      <c r="A319" s="235" t="s">
        <v>46</v>
      </c>
      <c r="B319" s="236"/>
      <c r="C319" s="41"/>
      <c r="D319" s="35"/>
      <c r="E319" s="87"/>
    </row>
    <row r="320" spans="1:5" ht="13.5" customHeight="1" x14ac:dyDescent="0.4">
      <c r="A320" s="205" t="s">
        <v>80</v>
      </c>
      <c r="B320" s="206"/>
      <c r="C320" s="41"/>
      <c r="D320" s="35"/>
      <c r="E320" s="87"/>
    </row>
    <row r="321" spans="1:5" ht="13.5" customHeight="1" x14ac:dyDescent="0.4">
      <c r="A321" s="205" t="s">
        <v>81</v>
      </c>
      <c r="B321" s="206"/>
      <c r="C321" s="41"/>
      <c r="D321" s="35"/>
      <c r="E321" s="87"/>
    </row>
    <row r="322" spans="1:5" ht="17.25" customHeight="1" x14ac:dyDescent="0.35">
      <c r="A322" s="207" t="s">
        <v>28</v>
      </c>
      <c r="B322" s="208"/>
      <c r="C322" s="3"/>
      <c r="D322" s="3"/>
      <c r="E322" s="15"/>
    </row>
    <row r="323" spans="1:5" ht="13.5" customHeight="1" thickBot="1" x14ac:dyDescent="0.4">
      <c r="A323" s="209" t="s">
        <v>30</v>
      </c>
      <c r="B323" s="210"/>
      <c r="C323" s="3"/>
      <c r="D323" s="3"/>
      <c r="E323" s="15"/>
    </row>
    <row r="324" spans="1:5" ht="13.5" customHeight="1" thickTop="1" x14ac:dyDescent="0.35">
      <c r="A324" s="106"/>
      <c r="B324" s="106"/>
      <c r="C324" s="106"/>
      <c r="D324" s="106"/>
      <c r="E324" s="106"/>
    </row>
    <row r="325" spans="1:5" ht="13.5" customHeight="1" x14ac:dyDescent="0.35">
      <c r="A325" s="106"/>
      <c r="B325" s="106"/>
      <c r="C325" s="106"/>
      <c r="D325" s="106"/>
      <c r="E325" s="106"/>
    </row>
    <row r="326" spans="1:5" ht="13.5" customHeight="1" x14ac:dyDescent="0.35">
      <c r="A326" s="211" t="s">
        <v>33</v>
      </c>
      <c r="B326" s="211"/>
      <c r="C326" s="211" t="s">
        <v>1</v>
      </c>
      <c r="D326" s="211"/>
      <c r="E326" s="211"/>
    </row>
    <row r="327" spans="1:5" ht="13.5" customHeight="1" x14ac:dyDescent="0.35"/>
    <row r="328" spans="1:5" ht="16.5" customHeight="1" x14ac:dyDescent="0.35"/>
    <row r="330" spans="1:5" x14ac:dyDescent="0.35">
      <c r="A330" s="212" t="s">
        <v>34</v>
      </c>
      <c r="B330" s="212"/>
      <c r="C330" s="277"/>
      <c r="D330" s="277"/>
      <c r="E330" s="277"/>
    </row>
    <row r="331" spans="1:5" x14ac:dyDescent="0.35">
      <c r="D331" s="51" t="s">
        <v>102</v>
      </c>
      <c r="E331" s="51"/>
    </row>
    <row r="332" spans="1:5" ht="15" thickBot="1" x14ac:dyDescent="0.4">
      <c r="D332" s="51"/>
      <c r="E332" s="51"/>
    </row>
    <row r="333" spans="1:5" ht="15.5" thickTop="1" thickBot="1" x14ac:dyDescent="0.4">
      <c r="A333" s="266" t="s">
        <v>1</v>
      </c>
      <c r="B333" s="267"/>
      <c r="C333" s="3"/>
      <c r="D333" s="96" t="s">
        <v>0</v>
      </c>
      <c r="E333" s="97" t="s">
        <v>123</v>
      </c>
    </row>
    <row r="334" spans="1:5" ht="15.5" thickTop="1" thickBot="1" x14ac:dyDescent="0.4">
      <c r="A334" s="254"/>
      <c r="B334" s="255"/>
      <c r="C334" s="3"/>
      <c r="D334" s="98" t="s">
        <v>2</v>
      </c>
      <c r="E334" s="97">
        <v>45756</v>
      </c>
    </row>
    <row r="335" spans="1:5" ht="21.75" customHeight="1" thickTop="1" thickBot="1" x14ac:dyDescent="0.4">
      <c r="A335" s="256" t="s">
        <v>104</v>
      </c>
      <c r="B335" s="257"/>
      <c r="C335" s="3"/>
      <c r="D335" s="99" t="s">
        <v>4</v>
      </c>
      <c r="E335" s="100"/>
    </row>
    <row r="336" spans="1:5" ht="22.5" customHeight="1" thickTop="1" thickBot="1" x14ac:dyDescent="0.4">
      <c r="A336" s="256" t="s">
        <v>77</v>
      </c>
      <c r="B336" s="257"/>
      <c r="C336" s="3"/>
      <c r="D336" s="101" t="s">
        <v>90</v>
      </c>
      <c r="E336" s="100"/>
    </row>
    <row r="337" spans="1:5" ht="24.75" customHeight="1" thickTop="1" x14ac:dyDescent="0.35">
      <c r="A337" s="256" t="s">
        <v>78</v>
      </c>
      <c r="B337" s="257"/>
      <c r="C337" s="3"/>
      <c r="D337" s="305" t="s">
        <v>86</v>
      </c>
      <c r="E337" s="306"/>
    </row>
    <row r="338" spans="1:5" ht="33" customHeight="1" thickBot="1" x14ac:dyDescent="0.4">
      <c r="A338" s="243" t="s">
        <v>11</v>
      </c>
      <c r="B338" s="244"/>
      <c r="D338" s="307"/>
      <c r="E338" s="308"/>
    </row>
    <row r="339" spans="1:5" ht="15.5" thickTop="1" thickBot="1" x14ac:dyDescent="0.4">
      <c r="A339" s="219" t="s">
        <v>79</v>
      </c>
      <c r="B339" s="220"/>
      <c r="C339" s="3"/>
      <c r="D339" s="99" t="s">
        <v>88</v>
      </c>
      <c r="E339" s="100" t="s">
        <v>89</v>
      </c>
    </row>
    <row r="340" spans="1:5" ht="15" thickTop="1" x14ac:dyDescent="0.35">
      <c r="A340" s="13"/>
      <c r="B340" s="13"/>
      <c r="C340" s="3"/>
      <c r="D340" s="14"/>
      <c r="E340" s="14"/>
    </row>
    <row r="341" spans="1:5" ht="29.5" x14ac:dyDescent="0.55000000000000004">
      <c r="A341" s="223" t="s">
        <v>87</v>
      </c>
      <c r="B341" s="223"/>
      <c r="C341" s="223"/>
      <c r="D341" s="223"/>
      <c r="E341" s="223"/>
    </row>
    <row r="342" spans="1:5" ht="15" thickBot="1" x14ac:dyDescent="0.4">
      <c r="A342" s="224" t="s">
        <v>124</v>
      </c>
      <c r="B342" s="224"/>
      <c r="C342" s="3"/>
      <c r="D342" s="3"/>
      <c r="E342" s="15"/>
    </row>
    <row r="343" spans="1:5" ht="15.5" thickTop="1" thickBot="1" x14ac:dyDescent="0.4">
      <c r="A343" s="16" t="s">
        <v>14</v>
      </c>
      <c r="B343" s="69" t="s">
        <v>15</v>
      </c>
      <c r="C343" s="70"/>
      <c r="D343" s="79"/>
      <c r="E343" s="17" t="s">
        <v>16</v>
      </c>
    </row>
    <row r="344" spans="1:5" ht="15" thickTop="1" x14ac:dyDescent="0.35">
      <c r="A344" s="71">
        <v>1</v>
      </c>
      <c r="B344" s="19" t="s">
        <v>85</v>
      </c>
      <c r="C344" s="20"/>
      <c r="D344" s="20"/>
      <c r="E344" s="21">
        <v>2000000</v>
      </c>
    </row>
    <row r="345" spans="1:5" x14ac:dyDescent="0.35">
      <c r="A345" s="72"/>
      <c r="B345" s="53" t="s">
        <v>84</v>
      </c>
      <c r="C345" s="34"/>
      <c r="D345" s="34"/>
      <c r="E345" s="25"/>
    </row>
    <row r="346" spans="1:5" x14ac:dyDescent="0.35">
      <c r="A346" s="72"/>
      <c r="B346" s="53" t="s">
        <v>82</v>
      </c>
      <c r="C346" s="34"/>
      <c r="D346" s="34"/>
      <c r="E346" s="25"/>
    </row>
    <row r="347" spans="1:5" x14ac:dyDescent="0.35">
      <c r="A347" s="72"/>
      <c r="B347" s="22" t="s">
        <v>92</v>
      </c>
      <c r="C347" s="23">
        <v>10181</v>
      </c>
      <c r="D347" s="24"/>
      <c r="E347" s="25"/>
    </row>
    <row r="348" spans="1:5" ht="15" x14ac:dyDescent="0.4">
      <c r="A348" s="72"/>
      <c r="B348" s="22" t="s">
        <v>19</v>
      </c>
      <c r="C348" s="26">
        <v>10542</v>
      </c>
      <c r="D348" s="27" t="s">
        <v>20</v>
      </c>
      <c r="E348" s="25"/>
    </row>
    <row r="349" spans="1:5" x14ac:dyDescent="0.35">
      <c r="A349" s="72"/>
      <c r="B349" s="22" t="s">
        <v>21</v>
      </c>
      <c r="C349" s="67">
        <f>+C348-C347</f>
        <v>361</v>
      </c>
      <c r="D349" s="27"/>
      <c r="E349" s="25"/>
    </row>
    <row r="350" spans="1:5" ht="15" x14ac:dyDescent="0.4">
      <c r="A350" s="72"/>
      <c r="B350" s="22" t="s">
        <v>22</v>
      </c>
      <c r="C350" s="91">
        <v>3000</v>
      </c>
      <c r="D350" s="27" t="s">
        <v>20</v>
      </c>
      <c r="E350" s="25"/>
    </row>
    <row r="351" spans="1:5" ht="15" thickBot="1" x14ac:dyDescent="0.4">
      <c r="A351" s="72"/>
      <c r="B351" s="22" t="s">
        <v>21</v>
      </c>
      <c r="C351" s="67">
        <v>0</v>
      </c>
      <c r="D351" s="27"/>
      <c r="E351" s="25"/>
    </row>
    <row r="352" spans="1:5" ht="15" thickTop="1" x14ac:dyDescent="0.35">
      <c r="A352" s="18"/>
      <c r="B352" s="19" t="s">
        <v>96</v>
      </c>
      <c r="C352" s="20"/>
      <c r="D352" s="20"/>
      <c r="E352" s="21"/>
    </row>
    <row r="353" spans="1:5" x14ac:dyDescent="0.35">
      <c r="A353" s="28"/>
      <c r="B353" s="22" t="s">
        <v>93</v>
      </c>
      <c r="C353" s="23">
        <v>9057</v>
      </c>
      <c r="D353" s="24"/>
      <c r="E353" s="25"/>
    </row>
    <row r="354" spans="1:5" ht="17.25" customHeight="1" x14ac:dyDescent="0.4">
      <c r="A354" s="28"/>
      <c r="B354" s="22" t="s">
        <v>19</v>
      </c>
      <c r="C354" s="26">
        <v>9363</v>
      </c>
      <c r="D354" s="27" t="s">
        <v>20</v>
      </c>
      <c r="E354" s="25"/>
    </row>
    <row r="355" spans="1:5" x14ac:dyDescent="0.35">
      <c r="A355" s="28"/>
      <c r="B355" s="22" t="s">
        <v>21</v>
      </c>
      <c r="C355" s="67">
        <f>+C354-C353</f>
        <v>306</v>
      </c>
      <c r="D355" s="27"/>
      <c r="E355" s="25"/>
    </row>
    <row r="356" spans="1:5" ht="16.5" customHeight="1" x14ac:dyDescent="0.4">
      <c r="A356" s="28"/>
      <c r="B356" s="22" t="s">
        <v>22</v>
      </c>
      <c r="C356" s="26">
        <v>100</v>
      </c>
      <c r="D356" s="27" t="s">
        <v>20</v>
      </c>
      <c r="E356" s="25"/>
    </row>
    <row r="357" spans="1:5" ht="17.25" customHeight="1" thickBot="1" x14ac:dyDescent="0.4">
      <c r="A357" s="28"/>
      <c r="B357" s="22" t="s">
        <v>21</v>
      </c>
      <c r="C357" s="67">
        <f>+C355-C356</f>
        <v>206</v>
      </c>
      <c r="D357" s="27"/>
      <c r="E357" s="25"/>
    </row>
    <row r="358" spans="1:5" ht="15" thickTop="1" x14ac:dyDescent="0.35">
      <c r="A358" s="72"/>
      <c r="B358" s="102" t="s">
        <v>94</v>
      </c>
      <c r="C358" s="20"/>
      <c r="D358" s="103"/>
      <c r="E358" s="103"/>
    </row>
    <row r="359" spans="1:5" x14ac:dyDescent="0.35">
      <c r="A359" s="72"/>
      <c r="B359" s="22" t="s">
        <v>92</v>
      </c>
      <c r="C359" s="92">
        <v>5</v>
      </c>
      <c r="D359" s="24"/>
      <c r="E359" s="25"/>
    </row>
    <row r="360" spans="1:5" ht="15" x14ac:dyDescent="0.4">
      <c r="A360" s="72"/>
      <c r="B360" s="22" t="s">
        <v>19</v>
      </c>
      <c r="C360" s="93">
        <v>5</v>
      </c>
      <c r="D360" s="27" t="s">
        <v>20</v>
      </c>
      <c r="E360" s="25"/>
    </row>
    <row r="361" spans="1:5" x14ac:dyDescent="0.35">
      <c r="A361" s="72"/>
      <c r="B361" s="22" t="s">
        <v>21</v>
      </c>
      <c r="C361" s="92">
        <f>+C360-C359</f>
        <v>0</v>
      </c>
      <c r="D361" s="27"/>
      <c r="E361" s="25"/>
    </row>
    <row r="362" spans="1:5" ht="15" customHeight="1" x14ac:dyDescent="0.35">
      <c r="A362" s="72"/>
      <c r="B362" s="22" t="s">
        <v>22</v>
      </c>
      <c r="C362" s="104">
        <f>+C350-C349</f>
        <v>2639</v>
      </c>
      <c r="D362" s="27" t="s">
        <v>20</v>
      </c>
      <c r="E362" s="25"/>
    </row>
    <row r="363" spans="1:5" ht="13.5" customHeight="1" thickBot="1" x14ac:dyDescent="0.4">
      <c r="A363" s="72"/>
      <c r="B363" s="22" t="s">
        <v>21</v>
      </c>
      <c r="C363" s="92">
        <v>0</v>
      </c>
      <c r="D363" s="27"/>
      <c r="E363" s="25"/>
    </row>
    <row r="364" spans="1:5" ht="18" customHeight="1" thickTop="1" x14ac:dyDescent="0.35">
      <c r="A364" s="18"/>
      <c r="B364" s="19" t="s">
        <v>97</v>
      </c>
      <c r="C364" s="105"/>
      <c r="D364" s="20"/>
      <c r="E364" s="21"/>
    </row>
    <row r="365" spans="1:5" ht="13.5" customHeight="1" x14ac:dyDescent="0.35">
      <c r="A365" s="28"/>
      <c r="B365" s="22" t="s">
        <v>93</v>
      </c>
      <c r="C365" s="92">
        <v>5</v>
      </c>
      <c r="D365" s="24"/>
      <c r="E365" s="25"/>
    </row>
    <row r="366" spans="1:5" ht="16.5" customHeight="1" x14ac:dyDescent="0.4">
      <c r="A366" s="28"/>
      <c r="B366" s="22" t="s">
        <v>19</v>
      </c>
      <c r="C366" s="93">
        <v>5</v>
      </c>
      <c r="D366" s="27" t="s">
        <v>20</v>
      </c>
      <c r="E366" s="25"/>
    </row>
    <row r="367" spans="1:5" ht="13.5" customHeight="1" thickBot="1" x14ac:dyDescent="0.4">
      <c r="A367" s="28"/>
      <c r="B367" s="22" t="s">
        <v>21</v>
      </c>
      <c r="C367" s="92">
        <f>+C366-C365</f>
        <v>0</v>
      </c>
      <c r="D367" s="27"/>
      <c r="E367" s="25"/>
    </row>
    <row r="368" spans="1:5" ht="18.75" customHeight="1" thickTop="1" thickBot="1" x14ac:dyDescent="0.4">
      <c r="A368" s="29">
        <v>2</v>
      </c>
      <c r="B368" s="30" t="s">
        <v>98</v>
      </c>
      <c r="C368" s="31" t="s">
        <v>24</v>
      </c>
      <c r="D368" s="32">
        <v>110</v>
      </c>
      <c r="E368" s="54">
        <f>+C351*D368</f>
        <v>0</v>
      </c>
    </row>
    <row r="369" spans="1:5" ht="17.25" customHeight="1" thickTop="1" thickBot="1" x14ac:dyDescent="0.4">
      <c r="A369" s="29">
        <v>3</v>
      </c>
      <c r="B369" s="30" t="s">
        <v>99</v>
      </c>
      <c r="C369" s="31" t="s">
        <v>24</v>
      </c>
      <c r="D369" s="32">
        <v>1100</v>
      </c>
      <c r="E369" s="54">
        <f>+C357*D369</f>
        <v>226600</v>
      </c>
    </row>
    <row r="370" spans="1:5" ht="15" customHeight="1" thickTop="1" thickBot="1" x14ac:dyDescent="0.4">
      <c r="A370" s="29">
        <v>4</v>
      </c>
      <c r="B370" s="30" t="s">
        <v>100</v>
      </c>
      <c r="C370" s="31" t="s">
        <v>24</v>
      </c>
      <c r="D370" s="32">
        <v>150</v>
      </c>
      <c r="E370" s="54">
        <v>0</v>
      </c>
    </row>
    <row r="371" spans="1:5" ht="14.25" customHeight="1" thickTop="1" thickBot="1" x14ac:dyDescent="0.4">
      <c r="A371" s="29">
        <v>5</v>
      </c>
      <c r="B371" s="30" t="s">
        <v>101</v>
      </c>
      <c r="C371" s="31" t="s">
        <v>24</v>
      </c>
      <c r="D371" s="32">
        <v>1650</v>
      </c>
      <c r="E371" s="54">
        <f>+D371*C367</f>
        <v>0</v>
      </c>
    </row>
    <row r="372" spans="1:5" ht="21.75" customHeight="1" thickTop="1" thickBot="1" x14ac:dyDescent="0.4">
      <c r="A372" s="34"/>
      <c r="B372" s="34"/>
      <c r="C372" s="34"/>
      <c r="D372" s="86" t="s">
        <v>25</v>
      </c>
      <c r="E372" s="54">
        <f>+E344+E368+E369+E370+E371</f>
        <v>2226600</v>
      </c>
    </row>
    <row r="373" spans="1:5" ht="16.5" customHeight="1" thickTop="1" thickBot="1" x14ac:dyDescent="0.45">
      <c r="A373" s="231" t="s">
        <v>26</v>
      </c>
      <c r="B373" s="232"/>
      <c r="C373" s="34"/>
      <c r="D373" s="86" t="s">
        <v>27</v>
      </c>
      <c r="E373" s="84"/>
    </row>
    <row r="374" spans="1:5" ht="18" customHeight="1" thickTop="1" thickBot="1" x14ac:dyDescent="0.45">
      <c r="A374" s="233" t="s">
        <v>45</v>
      </c>
      <c r="B374" s="234"/>
      <c r="C374" s="41"/>
      <c r="D374" s="86" t="s">
        <v>29</v>
      </c>
      <c r="E374" s="85">
        <f>+E372-E373</f>
        <v>2226600</v>
      </c>
    </row>
    <row r="375" spans="1:5" ht="13.5" customHeight="1" thickTop="1" x14ac:dyDescent="0.4">
      <c r="A375" s="235" t="s">
        <v>46</v>
      </c>
      <c r="B375" s="236"/>
      <c r="C375" s="41"/>
      <c r="D375" s="35"/>
      <c r="E375" s="87"/>
    </row>
    <row r="376" spans="1:5" ht="13.5" customHeight="1" x14ac:dyDescent="0.4">
      <c r="A376" s="205" t="s">
        <v>80</v>
      </c>
      <c r="B376" s="206"/>
      <c r="C376" s="41"/>
      <c r="D376" s="35"/>
      <c r="E376" s="87"/>
    </row>
    <row r="377" spans="1:5" ht="13.5" customHeight="1" x14ac:dyDescent="0.4">
      <c r="A377" s="205" t="s">
        <v>81</v>
      </c>
      <c r="B377" s="206"/>
      <c r="C377" s="41"/>
      <c r="D377" s="35"/>
      <c r="E377" s="87"/>
    </row>
    <row r="378" spans="1:5" ht="17.25" customHeight="1" x14ac:dyDescent="0.35">
      <c r="A378" s="207" t="s">
        <v>28</v>
      </c>
      <c r="B378" s="208"/>
      <c r="C378" s="3"/>
      <c r="D378" s="3"/>
      <c r="E378" s="15"/>
    </row>
    <row r="379" spans="1:5" ht="13.5" customHeight="1" thickBot="1" x14ac:dyDescent="0.4">
      <c r="A379" s="209" t="s">
        <v>30</v>
      </c>
      <c r="B379" s="210"/>
      <c r="C379" s="3"/>
      <c r="D379" s="3"/>
      <c r="E379" s="15"/>
    </row>
    <row r="380" spans="1:5" ht="13.5" customHeight="1" thickTop="1" x14ac:dyDescent="0.35">
      <c r="A380" s="106"/>
      <c r="B380" s="106"/>
      <c r="C380" s="106"/>
      <c r="D380" s="106"/>
      <c r="E380" s="106"/>
    </row>
    <row r="381" spans="1:5" ht="13.5" customHeight="1" x14ac:dyDescent="0.35">
      <c r="A381" s="106"/>
      <c r="B381" s="106"/>
      <c r="C381" s="106"/>
      <c r="D381" s="106"/>
      <c r="E381" s="106"/>
    </row>
    <row r="382" spans="1:5" ht="13.5" customHeight="1" x14ac:dyDescent="0.35">
      <c r="A382" s="211" t="s">
        <v>33</v>
      </c>
      <c r="B382" s="211"/>
      <c r="C382" s="211" t="s">
        <v>1</v>
      </c>
      <c r="D382" s="211"/>
      <c r="E382" s="211"/>
    </row>
    <row r="383" spans="1:5" ht="13.5" customHeight="1" x14ac:dyDescent="0.35"/>
    <row r="384" spans="1:5" ht="16.5" customHeight="1" x14ac:dyDescent="0.35"/>
    <row r="386" spans="1:5" x14ac:dyDescent="0.35">
      <c r="A386" s="212" t="s">
        <v>34</v>
      </c>
      <c r="B386" s="212"/>
      <c r="C386" s="277"/>
      <c r="D386" s="277"/>
      <c r="E386" s="277"/>
    </row>
    <row r="387" spans="1:5" x14ac:dyDescent="0.35">
      <c r="D387" s="51" t="s">
        <v>102</v>
      </c>
      <c r="E387" s="51"/>
    </row>
    <row r="388" spans="1:5" ht="15" thickBot="1" x14ac:dyDescent="0.4">
      <c r="D388" s="51"/>
      <c r="E388" s="51"/>
    </row>
    <row r="389" spans="1:5" ht="17" thickTop="1" thickBot="1" x14ac:dyDescent="0.5">
      <c r="A389" s="252"/>
      <c r="B389" s="253"/>
      <c r="C389" s="3"/>
      <c r="D389" s="96" t="s">
        <v>0</v>
      </c>
      <c r="E389" s="97" t="s">
        <v>118</v>
      </c>
    </row>
    <row r="390" spans="1:5" ht="27" thickTop="1" thickBot="1" x14ac:dyDescent="0.6">
      <c r="A390" s="254" t="s">
        <v>1</v>
      </c>
      <c r="B390" s="255"/>
      <c r="C390" s="3"/>
      <c r="D390" s="98" t="s">
        <v>2</v>
      </c>
      <c r="E390" s="97">
        <v>45723</v>
      </c>
    </row>
    <row r="391" spans="1:5" ht="21.75" customHeight="1" thickTop="1" thickBot="1" x14ac:dyDescent="0.4">
      <c r="A391" s="256" t="s">
        <v>104</v>
      </c>
      <c r="B391" s="257"/>
      <c r="C391" s="3"/>
      <c r="D391" s="99" t="s">
        <v>4</v>
      </c>
      <c r="E391" s="100"/>
    </row>
    <row r="392" spans="1:5" ht="22.5" customHeight="1" thickTop="1" thickBot="1" x14ac:dyDescent="0.4">
      <c r="A392" s="256" t="s">
        <v>77</v>
      </c>
      <c r="B392" s="257"/>
      <c r="C392" s="3"/>
      <c r="D392" s="101" t="s">
        <v>90</v>
      </c>
      <c r="E392" s="100"/>
    </row>
    <row r="393" spans="1:5" ht="24.75" customHeight="1" thickTop="1" x14ac:dyDescent="0.35">
      <c r="A393" s="256" t="s">
        <v>78</v>
      </c>
      <c r="B393" s="257"/>
      <c r="C393" s="3"/>
      <c r="D393" s="305" t="s">
        <v>86</v>
      </c>
      <c r="E393" s="306"/>
    </row>
    <row r="394" spans="1:5" ht="33" customHeight="1" thickBot="1" x14ac:dyDescent="0.4">
      <c r="A394" s="248" t="s">
        <v>79</v>
      </c>
      <c r="B394" s="249"/>
      <c r="D394" s="307"/>
      <c r="E394" s="308"/>
    </row>
    <row r="395" spans="1:5" ht="17" thickTop="1" thickBot="1" x14ac:dyDescent="0.5">
      <c r="A395" s="262"/>
      <c r="B395" s="263"/>
      <c r="C395" s="3"/>
      <c r="D395" s="99" t="s">
        <v>88</v>
      </c>
      <c r="E395" s="100" t="s">
        <v>89</v>
      </c>
    </row>
    <row r="396" spans="1:5" ht="15" thickTop="1" x14ac:dyDescent="0.35">
      <c r="A396" s="13"/>
      <c r="B396" s="13"/>
      <c r="C396" s="3"/>
      <c r="D396" s="14"/>
      <c r="E396" s="14"/>
    </row>
    <row r="397" spans="1:5" ht="29.5" x14ac:dyDescent="0.55000000000000004">
      <c r="A397" s="223" t="s">
        <v>87</v>
      </c>
      <c r="B397" s="223"/>
      <c r="C397" s="223"/>
      <c r="D397" s="223"/>
      <c r="E397" s="223"/>
    </row>
    <row r="398" spans="1:5" ht="15" thickBot="1" x14ac:dyDescent="0.4">
      <c r="A398" s="95" t="s">
        <v>117</v>
      </c>
      <c r="B398" s="68"/>
      <c r="C398" s="3"/>
      <c r="D398" s="3"/>
      <c r="E398" s="15"/>
    </row>
    <row r="399" spans="1:5" ht="15.5" thickTop="1" thickBot="1" x14ac:dyDescent="0.4">
      <c r="A399" s="16" t="s">
        <v>14</v>
      </c>
      <c r="B399" s="69" t="s">
        <v>15</v>
      </c>
      <c r="C399" s="70"/>
      <c r="D399" s="79"/>
      <c r="E399" s="17" t="s">
        <v>16</v>
      </c>
    </row>
    <row r="400" spans="1:5" ht="15" thickTop="1" x14ac:dyDescent="0.35">
      <c r="A400" s="71">
        <v>1</v>
      </c>
      <c r="B400" s="19" t="s">
        <v>85</v>
      </c>
      <c r="C400" s="20"/>
      <c r="D400" s="20"/>
      <c r="E400" s="21">
        <v>2000000</v>
      </c>
    </row>
    <row r="401" spans="1:5" x14ac:dyDescent="0.35">
      <c r="A401" s="72"/>
      <c r="B401" s="53" t="s">
        <v>84</v>
      </c>
      <c r="C401" s="34"/>
      <c r="D401" s="34"/>
      <c r="E401" s="25"/>
    </row>
    <row r="402" spans="1:5" x14ac:dyDescent="0.35">
      <c r="A402" s="72"/>
      <c r="B402" s="53" t="s">
        <v>82</v>
      </c>
      <c r="C402" s="34"/>
      <c r="D402" s="34"/>
      <c r="E402" s="25"/>
    </row>
    <row r="403" spans="1:5" x14ac:dyDescent="0.35">
      <c r="A403" s="72"/>
      <c r="B403" s="22" t="s">
        <v>92</v>
      </c>
      <c r="C403" s="23">
        <v>9729</v>
      </c>
      <c r="D403" s="24"/>
      <c r="E403" s="25"/>
    </row>
    <row r="404" spans="1:5" ht="15" x14ac:dyDescent="0.4">
      <c r="A404" s="72"/>
      <c r="B404" s="22" t="s">
        <v>19</v>
      </c>
      <c r="C404" s="26">
        <v>10181</v>
      </c>
      <c r="D404" s="27" t="s">
        <v>20</v>
      </c>
      <c r="E404" s="25"/>
    </row>
    <row r="405" spans="1:5" x14ac:dyDescent="0.35">
      <c r="A405" s="72"/>
      <c r="B405" s="22" t="s">
        <v>21</v>
      </c>
      <c r="C405" s="67">
        <f>+C404-C403</f>
        <v>452</v>
      </c>
      <c r="D405" s="27"/>
      <c r="E405" s="25"/>
    </row>
    <row r="406" spans="1:5" ht="15" x14ac:dyDescent="0.4">
      <c r="A406" s="72"/>
      <c r="B406" s="22" t="s">
        <v>22</v>
      </c>
      <c r="C406" s="91">
        <v>3000</v>
      </c>
      <c r="D406" s="27" t="s">
        <v>20</v>
      </c>
      <c r="E406" s="25"/>
    </row>
    <row r="407" spans="1:5" ht="15" thickBot="1" x14ac:dyDescent="0.4">
      <c r="A407" s="72"/>
      <c r="B407" s="22" t="s">
        <v>21</v>
      </c>
      <c r="C407" s="67">
        <v>0</v>
      </c>
      <c r="D407" s="27"/>
      <c r="E407" s="25"/>
    </row>
    <row r="408" spans="1:5" ht="15" thickTop="1" x14ac:dyDescent="0.35">
      <c r="A408" s="18"/>
      <c r="B408" s="19" t="s">
        <v>96</v>
      </c>
      <c r="C408" s="20"/>
      <c r="D408" s="20"/>
      <c r="E408" s="21"/>
    </row>
    <row r="409" spans="1:5" x14ac:dyDescent="0.35">
      <c r="A409" s="28"/>
      <c r="B409" s="22" t="s">
        <v>93</v>
      </c>
      <c r="C409" s="23">
        <v>8503</v>
      </c>
      <c r="D409" s="24"/>
      <c r="E409" s="25"/>
    </row>
    <row r="410" spans="1:5" ht="17.25" customHeight="1" x14ac:dyDescent="0.4">
      <c r="A410" s="28"/>
      <c r="B410" s="22" t="s">
        <v>19</v>
      </c>
      <c r="C410" s="26">
        <v>9057</v>
      </c>
      <c r="D410" s="27" t="s">
        <v>20</v>
      </c>
      <c r="E410" s="25"/>
    </row>
    <row r="411" spans="1:5" x14ac:dyDescent="0.35">
      <c r="A411" s="28"/>
      <c r="B411" s="22" t="s">
        <v>21</v>
      </c>
      <c r="C411" s="67">
        <f>+C410-C409</f>
        <v>554</v>
      </c>
      <c r="D411" s="27"/>
      <c r="E411" s="25"/>
    </row>
    <row r="412" spans="1:5" ht="16.5" customHeight="1" x14ac:dyDescent="0.4">
      <c r="A412" s="28"/>
      <c r="B412" s="22" t="s">
        <v>22</v>
      </c>
      <c r="C412" s="26">
        <v>100</v>
      </c>
      <c r="D412" s="27" t="s">
        <v>20</v>
      </c>
      <c r="E412" s="25"/>
    </row>
    <row r="413" spans="1:5" ht="17.25" customHeight="1" thickBot="1" x14ac:dyDescent="0.4">
      <c r="A413" s="28"/>
      <c r="B413" s="22" t="s">
        <v>21</v>
      </c>
      <c r="C413" s="67">
        <f>+C411-C412</f>
        <v>454</v>
      </c>
      <c r="D413" s="27"/>
      <c r="E413" s="25"/>
    </row>
    <row r="414" spans="1:5" ht="15" thickTop="1" x14ac:dyDescent="0.35">
      <c r="A414" s="72"/>
      <c r="B414" s="102" t="s">
        <v>94</v>
      </c>
      <c r="C414" s="20"/>
      <c r="D414" s="103"/>
      <c r="E414" s="103"/>
    </row>
    <row r="415" spans="1:5" x14ac:dyDescent="0.35">
      <c r="A415" s="72"/>
      <c r="B415" s="22" t="s">
        <v>92</v>
      </c>
      <c r="C415" s="92">
        <v>5</v>
      </c>
      <c r="D415" s="24"/>
      <c r="E415" s="25"/>
    </row>
    <row r="416" spans="1:5" ht="15" x14ac:dyDescent="0.4">
      <c r="A416" s="72"/>
      <c r="B416" s="22" t="s">
        <v>19</v>
      </c>
      <c r="C416" s="93">
        <v>5</v>
      </c>
      <c r="D416" s="27" t="s">
        <v>20</v>
      </c>
      <c r="E416" s="25"/>
    </row>
    <row r="417" spans="1:5" x14ac:dyDescent="0.35">
      <c r="A417" s="72"/>
      <c r="B417" s="22" t="s">
        <v>21</v>
      </c>
      <c r="C417" s="92">
        <f>+C416-C415</f>
        <v>0</v>
      </c>
      <c r="D417" s="27"/>
      <c r="E417" s="25"/>
    </row>
    <row r="418" spans="1:5" ht="15" customHeight="1" x14ac:dyDescent="0.35">
      <c r="A418" s="72"/>
      <c r="B418" s="22" t="s">
        <v>22</v>
      </c>
      <c r="C418" s="104">
        <f>+C406-C405</f>
        <v>2548</v>
      </c>
      <c r="D418" s="27" t="s">
        <v>20</v>
      </c>
      <c r="E418" s="25"/>
    </row>
    <row r="419" spans="1:5" ht="13.5" customHeight="1" thickBot="1" x14ac:dyDescent="0.4">
      <c r="A419" s="72"/>
      <c r="B419" s="22" t="s">
        <v>21</v>
      </c>
      <c r="C419" s="92">
        <v>0</v>
      </c>
      <c r="D419" s="27"/>
      <c r="E419" s="25"/>
    </row>
    <row r="420" spans="1:5" ht="18" customHeight="1" thickTop="1" x14ac:dyDescent="0.35">
      <c r="A420" s="18"/>
      <c r="B420" s="19" t="s">
        <v>97</v>
      </c>
      <c r="C420" s="105"/>
      <c r="D420" s="20"/>
      <c r="E420" s="21"/>
    </row>
    <row r="421" spans="1:5" ht="13.5" customHeight="1" x14ac:dyDescent="0.35">
      <c r="A421" s="28"/>
      <c r="B421" s="22" t="s">
        <v>93</v>
      </c>
      <c r="C421" s="92">
        <v>5</v>
      </c>
      <c r="D421" s="24"/>
      <c r="E421" s="25"/>
    </row>
    <row r="422" spans="1:5" ht="16.5" customHeight="1" x14ac:dyDescent="0.4">
      <c r="A422" s="28"/>
      <c r="B422" s="22" t="s">
        <v>19</v>
      </c>
      <c r="C422" s="93">
        <v>5</v>
      </c>
      <c r="D422" s="27" t="s">
        <v>20</v>
      </c>
      <c r="E422" s="25"/>
    </row>
    <row r="423" spans="1:5" ht="13.5" customHeight="1" thickBot="1" x14ac:dyDescent="0.4">
      <c r="A423" s="28"/>
      <c r="B423" s="22" t="s">
        <v>21</v>
      </c>
      <c r="C423" s="92">
        <f>+C422-C421</f>
        <v>0</v>
      </c>
      <c r="D423" s="27"/>
      <c r="E423" s="25"/>
    </row>
    <row r="424" spans="1:5" ht="18.75" customHeight="1" thickTop="1" thickBot="1" x14ac:dyDescent="0.4">
      <c r="A424" s="29">
        <v>2</v>
      </c>
      <c r="B424" s="30" t="s">
        <v>98</v>
      </c>
      <c r="C424" s="31" t="s">
        <v>24</v>
      </c>
      <c r="D424" s="32">
        <v>110</v>
      </c>
      <c r="E424" s="54">
        <f>+C407*D424</f>
        <v>0</v>
      </c>
    </row>
    <row r="425" spans="1:5" ht="17.25" customHeight="1" thickTop="1" thickBot="1" x14ac:dyDescent="0.4">
      <c r="A425" s="29">
        <v>3</v>
      </c>
      <c r="B425" s="30" t="s">
        <v>99</v>
      </c>
      <c r="C425" s="31" t="s">
        <v>24</v>
      </c>
      <c r="D425" s="32">
        <v>1100</v>
      </c>
      <c r="E425" s="54">
        <f>+C413*D425</f>
        <v>499400</v>
      </c>
    </row>
    <row r="426" spans="1:5" ht="15" customHeight="1" thickTop="1" thickBot="1" x14ac:dyDescent="0.4">
      <c r="A426" s="29">
        <v>4</v>
      </c>
      <c r="B426" s="30" t="s">
        <v>100</v>
      </c>
      <c r="C426" s="31" t="s">
        <v>24</v>
      </c>
      <c r="D426" s="32">
        <v>150</v>
      </c>
      <c r="E426" s="54">
        <v>0</v>
      </c>
    </row>
    <row r="427" spans="1:5" ht="14.25" customHeight="1" thickTop="1" thickBot="1" x14ac:dyDescent="0.4">
      <c r="A427" s="29">
        <v>5</v>
      </c>
      <c r="B427" s="30" t="s">
        <v>101</v>
      </c>
      <c r="C427" s="31" t="s">
        <v>24</v>
      </c>
      <c r="D427" s="32">
        <v>1650</v>
      </c>
      <c r="E427" s="54">
        <f>+D427*C423</f>
        <v>0</v>
      </c>
    </row>
    <row r="428" spans="1:5" ht="21.75" customHeight="1" thickTop="1" thickBot="1" x14ac:dyDescent="0.4">
      <c r="A428" s="34"/>
      <c r="B428" s="34"/>
      <c r="C428" s="34"/>
      <c r="D428" s="86" t="s">
        <v>25</v>
      </c>
      <c r="E428" s="54">
        <f>+E400+E424+E425+E426+E427</f>
        <v>2499400</v>
      </c>
    </row>
    <row r="429" spans="1:5" ht="16.5" customHeight="1" thickTop="1" thickBot="1" x14ac:dyDescent="0.45">
      <c r="A429" s="231" t="s">
        <v>26</v>
      </c>
      <c r="B429" s="232"/>
      <c r="C429" s="34"/>
      <c r="D429" s="86" t="s">
        <v>27</v>
      </c>
      <c r="E429" s="84"/>
    </row>
    <row r="430" spans="1:5" ht="18" customHeight="1" thickTop="1" thickBot="1" x14ac:dyDescent="0.45">
      <c r="A430" s="233" t="s">
        <v>45</v>
      </c>
      <c r="B430" s="234"/>
      <c r="C430" s="41"/>
      <c r="D430" s="86" t="s">
        <v>29</v>
      </c>
      <c r="E430" s="85">
        <f>+E428-E429</f>
        <v>2499400</v>
      </c>
    </row>
    <row r="431" spans="1:5" ht="13.5" customHeight="1" thickTop="1" x14ac:dyDescent="0.4">
      <c r="A431" s="235" t="s">
        <v>46</v>
      </c>
      <c r="B431" s="236"/>
      <c r="C431" s="41"/>
      <c r="D431" s="35"/>
      <c r="E431" s="87"/>
    </row>
    <row r="432" spans="1:5" ht="13.5" customHeight="1" x14ac:dyDescent="0.4">
      <c r="A432" s="205" t="s">
        <v>80</v>
      </c>
      <c r="B432" s="206"/>
      <c r="C432" s="41"/>
      <c r="D432" s="35"/>
      <c r="E432" s="87"/>
    </row>
    <row r="433" spans="1:5" ht="13.5" customHeight="1" x14ac:dyDescent="0.4">
      <c r="A433" s="205" t="s">
        <v>81</v>
      </c>
      <c r="B433" s="206"/>
      <c r="C433" s="41"/>
      <c r="D433" s="35"/>
      <c r="E433" s="87"/>
    </row>
    <row r="434" spans="1:5" ht="17.25" customHeight="1" x14ac:dyDescent="0.35">
      <c r="A434" s="207" t="s">
        <v>28</v>
      </c>
      <c r="B434" s="208"/>
      <c r="C434" s="3"/>
      <c r="D434" s="3"/>
      <c r="E434" s="15"/>
    </row>
    <row r="435" spans="1:5" ht="13.5" customHeight="1" thickBot="1" x14ac:dyDescent="0.4">
      <c r="A435" s="209" t="s">
        <v>30</v>
      </c>
      <c r="B435" s="210"/>
      <c r="C435" s="3"/>
      <c r="D435" s="3"/>
      <c r="E435" s="15"/>
    </row>
    <row r="436" spans="1:5" ht="13.5" customHeight="1" thickTop="1" x14ac:dyDescent="0.35">
      <c r="A436" s="106"/>
      <c r="B436" s="106"/>
      <c r="C436" s="106"/>
      <c r="D436" s="106"/>
      <c r="E436" s="106"/>
    </row>
    <row r="437" spans="1:5" ht="13.5" customHeight="1" x14ac:dyDescent="0.35">
      <c r="A437" s="106"/>
      <c r="B437" s="106"/>
      <c r="C437" s="106"/>
      <c r="D437" s="106"/>
      <c r="E437" s="106"/>
    </row>
    <row r="438" spans="1:5" ht="13.5" customHeight="1" x14ac:dyDescent="0.35">
      <c r="A438" s="211" t="s">
        <v>33</v>
      </c>
      <c r="B438" s="211"/>
      <c r="C438" s="211" t="s">
        <v>1</v>
      </c>
      <c r="D438" s="211"/>
      <c r="E438" s="211"/>
    </row>
    <row r="439" spans="1:5" ht="13.5" customHeight="1" x14ac:dyDescent="0.35"/>
    <row r="440" spans="1:5" ht="16.5" customHeight="1" x14ac:dyDescent="0.35"/>
    <row r="442" spans="1:5" x14ac:dyDescent="0.35">
      <c r="A442" s="212" t="s">
        <v>34</v>
      </c>
      <c r="B442" s="212"/>
      <c r="C442" s="277"/>
      <c r="D442" s="277"/>
      <c r="E442" s="277"/>
    </row>
    <row r="443" spans="1:5" x14ac:dyDescent="0.35">
      <c r="D443" s="51" t="s">
        <v>102</v>
      </c>
      <c r="E443" s="51"/>
    </row>
    <row r="444" spans="1:5" ht="16" x14ac:dyDescent="0.45">
      <c r="A444" s="94"/>
      <c r="B444" s="94"/>
      <c r="C444" s="94"/>
      <c r="D444" s="94"/>
      <c r="E444" s="94"/>
    </row>
  </sheetData>
  <mergeCells count="165">
    <mergeCell ref="A53:B53"/>
    <mergeCell ref="C53:E53"/>
    <mergeCell ref="C54:E54"/>
    <mergeCell ref="A41:B41"/>
    <mergeCell ref="A42:B42"/>
    <mergeCell ref="A43:B43"/>
    <mergeCell ref="A44:B44"/>
    <mergeCell ref="A45:B45"/>
    <mergeCell ref="A46:B46"/>
    <mergeCell ref="A47:B47"/>
    <mergeCell ref="A49:B49"/>
    <mergeCell ref="C49:E49"/>
    <mergeCell ref="A1:B2"/>
    <mergeCell ref="A3:B3"/>
    <mergeCell ref="A4:B4"/>
    <mergeCell ref="A5:B5"/>
    <mergeCell ref="D5:E6"/>
    <mergeCell ref="A6:B6"/>
    <mergeCell ref="A7:B7"/>
    <mergeCell ref="A9:E9"/>
    <mergeCell ref="A10:B10"/>
    <mergeCell ref="A163:B163"/>
    <mergeCell ref="C163:E163"/>
    <mergeCell ref="C164:E164"/>
    <mergeCell ref="A151:B151"/>
    <mergeCell ref="A152:B152"/>
    <mergeCell ref="A153:B153"/>
    <mergeCell ref="A154:B154"/>
    <mergeCell ref="A155:B155"/>
    <mergeCell ref="A156:B156"/>
    <mergeCell ref="A157:B157"/>
    <mergeCell ref="A159:B159"/>
    <mergeCell ref="C159:E159"/>
    <mergeCell ref="A111:B112"/>
    <mergeCell ref="A113:B113"/>
    <mergeCell ref="A114:B114"/>
    <mergeCell ref="A115:B115"/>
    <mergeCell ref="D115:E116"/>
    <mergeCell ref="A116:B116"/>
    <mergeCell ref="A117:B117"/>
    <mergeCell ref="A119:E119"/>
    <mergeCell ref="A120:B120"/>
    <mergeCell ref="A262:B262"/>
    <mergeCell ref="A270:B270"/>
    <mergeCell ref="C270:E270"/>
    <mergeCell ref="A274:B274"/>
    <mergeCell ref="C274:E274"/>
    <mergeCell ref="A263:B263"/>
    <mergeCell ref="A264:B264"/>
    <mergeCell ref="A265:B265"/>
    <mergeCell ref="A266:B266"/>
    <mergeCell ref="A267:B267"/>
    <mergeCell ref="A223:B223"/>
    <mergeCell ref="A224:B224"/>
    <mergeCell ref="A225:B225"/>
    <mergeCell ref="D225:E226"/>
    <mergeCell ref="A226:B226"/>
    <mergeCell ref="A227:B227"/>
    <mergeCell ref="A229:E229"/>
    <mergeCell ref="A230:B230"/>
    <mergeCell ref="A261:B261"/>
    <mergeCell ref="A317:B317"/>
    <mergeCell ref="A318:B318"/>
    <mergeCell ref="A326:B326"/>
    <mergeCell ref="C326:E326"/>
    <mergeCell ref="A330:B330"/>
    <mergeCell ref="C330:E330"/>
    <mergeCell ref="A319:B319"/>
    <mergeCell ref="A320:B320"/>
    <mergeCell ref="A321:B321"/>
    <mergeCell ref="A322:B322"/>
    <mergeCell ref="A323:B323"/>
    <mergeCell ref="A277:B278"/>
    <mergeCell ref="A279:B279"/>
    <mergeCell ref="A280:B280"/>
    <mergeCell ref="A281:B281"/>
    <mergeCell ref="D281:E282"/>
    <mergeCell ref="A282:B282"/>
    <mergeCell ref="A283:B283"/>
    <mergeCell ref="A285:E285"/>
    <mergeCell ref="A286:B286"/>
    <mergeCell ref="A374:B374"/>
    <mergeCell ref="A382:B382"/>
    <mergeCell ref="C382:E382"/>
    <mergeCell ref="A386:B386"/>
    <mergeCell ref="C386:E386"/>
    <mergeCell ref="A375:B375"/>
    <mergeCell ref="A376:B376"/>
    <mergeCell ref="A377:B377"/>
    <mergeCell ref="A378:B378"/>
    <mergeCell ref="A379:B379"/>
    <mergeCell ref="A335:B335"/>
    <mergeCell ref="A336:B336"/>
    <mergeCell ref="A337:B337"/>
    <mergeCell ref="A333:B334"/>
    <mergeCell ref="D337:E338"/>
    <mergeCell ref="A338:B338"/>
    <mergeCell ref="A339:B339"/>
    <mergeCell ref="A341:E341"/>
    <mergeCell ref="A373:B373"/>
    <mergeCell ref="A342:B342"/>
    <mergeCell ref="A390:B390"/>
    <mergeCell ref="A389:B389"/>
    <mergeCell ref="A391:B391"/>
    <mergeCell ref="A392:B392"/>
    <mergeCell ref="A393:B393"/>
    <mergeCell ref="D393:E394"/>
    <mergeCell ref="A438:B438"/>
    <mergeCell ref="C438:E438"/>
    <mergeCell ref="A442:B442"/>
    <mergeCell ref="C442:E442"/>
    <mergeCell ref="A394:B394"/>
    <mergeCell ref="A397:E397"/>
    <mergeCell ref="A429:B429"/>
    <mergeCell ref="A430:B430"/>
    <mergeCell ref="A431:B431"/>
    <mergeCell ref="A432:B432"/>
    <mergeCell ref="A433:B433"/>
    <mergeCell ref="A434:B434"/>
    <mergeCell ref="A435:B435"/>
    <mergeCell ref="A395:B395"/>
    <mergeCell ref="A172:B172"/>
    <mergeCell ref="A174:E174"/>
    <mergeCell ref="A175:B175"/>
    <mergeCell ref="A206:B206"/>
    <mergeCell ref="A207:B207"/>
    <mergeCell ref="A166:B167"/>
    <mergeCell ref="A168:B168"/>
    <mergeCell ref="A169:B169"/>
    <mergeCell ref="A170:B170"/>
    <mergeCell ref="D170:E171"/>
    <mergeCell ref="A171:B171"/>
    <mergeCell ref="C219:E219"/>
    <mergeCell ref="I221:J221"/>
    <mergeCell ref="A214:B214"/>
    <mergeCell ref="C214:E214"/>
    <mergeCell ref="A218:B218"/>
    <mergeCell ref="C218:E218"/>
    <mergeCell ref="A208:B208"/>
    <mergeCell ref="A209:B209"/>
    <mergeCell ref="A210:B210"/>
    <mergeCell ref="A211:B211"/>
    <mergeCell ref="A212:B212"/>
    <mergeCell ref="A221:B222"/>
    <mergeCell ref="A56:B57"/>
    <mergeCell ref="A58:B58"/>
    <mergeCell ref="A59:B59"/>
    <mergeCell ref="A60:B60"/>
    <mergeCell ref="D60:E61"/>
    <mergeCell ref="A61:B61"/>
    <mergeCell ref="A62:B62"/>
    <mergeCell ref="A64:E64"/>
    <mergeCell ref="A65:B65"/>
    <mergeCell ref="A108:B108"/>
    <mergeCell ref="C108:E108"/>
    <mergeCell ref="C109:E109"/>
    <mergeCell ref="A96:B96"/>
    <mergeCell ref="A97:B97"/>
    <mergeCell ref="A98:B98"/>
    <mergeCell ref="A99:B99"/>
    <mergeCell ref="A100:B100"/>
    <mergeCell ref="A101:B101"/>
    <mergeCell ref="A102:B102"/>
    <mergeCell ref="A104:B104"/>
    <mergeCell ref="C104:E104"/>
  </mergeCells>
  <hyperlinks>
    <hyperlink ref="A394" r:id="rId1" xr:uid="{212A658E-41E1-4AFC-80E8-7FB9B3CC04DC}"/>
    <hyperlink ref="A338" r:id="rId2" display="www.biasbst.com" xr:uid="{A225FDFE-49E0-468C-996C-3FE10559B09A}"/>
    <hyperlink ref="A339" r:id="rId3" xr:uid="{43B9482D-7728-4252-B074-D72DCCF45F33}"/>
    <hyperlink ref="A282" r:id="rId4" display="www.biasbst.com" xr:uid="{637AE0F1-DDDB-4378-B7A3-DE07C39905C3}"/>
    <hyperlink ref="A283" r:id="rId5" xr:uid="{AEF6C6D8-2C99-46E8-9FA8-7983F175D8C1}"/>
    <hyperlink ref="A226" r:id="rId6" display="www.biasbst.com" xr:uid="{57F69523-103C-43D9-9F2E-0EFE00239A4D}"/>
    <hyperlink ref="A227" r:id="rId7" xr:uid="{8066FD3B-BE51-4259-95F4-274E3C0CA43A}"/>
    <hyperlink ref="A171" r:id="rId8" display="www.biasbst.com" xr:uid="{FDBD107F-B6F1-410F-ACA7-083D0666AB7F}"/>
    <hyperlink ref="A172" r:id="rId9" xr:uid="{D3D80AF8-E3DA-4F87-A555-D9B12F7CB957}"/>
    <hyperlink ref="A116" r:id="rId10" display="www.biasbst.com" xr:uid="{4C35DBCC-B8C6-485B-9403-500FB92B8E9B}"/>
    <hyperlink ref="A117" r:id="rId11" xr:uid="{EB319753-51D2-477A-B9D6-274CF4463AAE}"/>
    <hyperlink ref="A61" r:id="rId12" display="www.biasbst.com" xr:uid="{3D138EE5-E9B5-41E3-814D-C7F9D4699122}"/>
    <hyperlink ref="A62" r:id="rId13" xr:uid="{C308E57C-B625-40D9-8063-814FF7CC1AC4}"/>
    <hyperlink ref="A6" r:id="rId14" display="www.biasbst.com" xr:uid="{10AE8E0F-5C0F-4D7E-B111-5A56404C387B}"/>
    <hyperlink ref="A7" r:id="rId15" xr:uid="{8DDCE054-B1BB-45E6-BD98-6BCF0071BA82}"/>
  </hyperlinks>
  <printOptions horizontalCentered="1"/>
  <pageMargins left="0.70866141732283472" right="0.70866141732283472" top="0.74803149606299213" bottom="0.74803149606299213" header="0.70866141732283472" footer="0.31496062992125984"/>
  <pageSetup scale="79" orientation="portrait" horizontalDpi="4294967293" verticalDpi="180" r:id="rId16"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1ECC-3D32-4AA3-A919-538ADF97B240}">
  <sheetPr>
    <tabColor rgb="FFFFFF00"/>
    <pageSetUpPr fitToPage="1"/>
  </sheetPr>
  <dimension ref="A1:P180"/>
  <sheetViews>
    <sheetView topLeftCell="A7" zoomScale="83" zoomScaleNormal="83" workbookViewId="0">
      <selection activeCell="F9" sqref="F9"/>
    </sheetView>
  </sheetViews>
  <sheetFormatPr defaultColWidth="9.1796875" defaultRowHeight="14.5" x14ac:dyDescent="0.35"/>
  <cols>
    <col min="1" max="1" width="4.1796875" customWidth="1"/>
    <col min="2" max="2" width="39.1796875" customWidth="1"/>
    <col min="3" max="3" width="7.81640625" customWidth="1"/>
    <col min="4" max="4" width="13" customWidth="1"/>
    <col min="5" max="5" width="31.1796875" style="50" customWidth="1"/>
    <col min="6" max="6" width="10.7265625" customWidth="1"/>
    <col min="9" max="9" width="14.54296875" style="134" bestFit="1" customWidth="1"/>
    <col min="10" max="10" width="18.26953125" customWidth="1"/>
    <col min="11" max="11" width="4.90625" bestFit="1" customWidth="1"/>
    <col min="12" max="12" width="18.36328125" customWidth="1"/>
    <col min="13" max="13" width="4.90625" bestFit="1" customWidth="1"/>
    <col min="14" max="14" width="13.453125" customWidth="1"/>
  </cols>
  <sheetData>
    <row r="1" spans="1:15" ht="15.5" thickTop="1" thickBot="1" x14ac:dyDescent="0.4">
      <c r="A1" s="266" t="s">
        <v>1</v>
      </c>
      <c r="B1" s="267"/>
      <c r="C1" s="3"/>
      <c r="D1" s="96" t="s">
        <v>0</v>
      </c>
      <c r="E1" s="97" t="s">
        <v>201</v>
      </c>
    </row>
    <row r="2" spans="1:15" ht="15.5" thickTop="1" thickBot="1" x14ac:dyDescent="0.4">
      <c r="A2" s="254"/>
      <c r="B2" s="255"/>
      <c r="C2" s="3"/>
      <c r="D2" s="98" t="s">
        <v>2</v>
      </c>
      <c r="E2" s="97">
        <v>46031</v>
      </c>
    </row>
    <row r="3" spans="1:15" ht="21.75" customHeight="1" thickTop="1" thickBot="1" x14ac:dyDescent="0.4">
      <c r="A3" s="256" t="s">
        <v>104</v>
      </c>
      <c r="B3" s="257"/>
      <c r="C3" s="3"/>
      <c r="D3" s="99" t="s">
        <v>4</v>
      </c>
      <c r="E3" s="100"/>
    </row>
    <row r="4" spans="1:15" ht="22.5" customHeight="1" thickTop="1" thickBot="1" x14ac:dyDescent="0.4">
      <c r="A4" s="256" t="s">
        <v>77</v>
      </c>
      <c r="B4" s="257"/>
      <c r="C4" s="3"/>
      <c r="D4" s="101" t="s">
        <v>90</v>
      </c>
      <c r="E4" s="100"/>
    </row>
    <row r="5" spans="1:15" ht="24.75" customHeight="1" thickTop="1" x14ac:dyDescent="0.35">
      <c r="A5" s="256" t="s">
        <v>78</v>
      </c>
      <c r="B5" s="257"/>
      <c r="C5" s="3"/>
      <c r="D5" s="305" t="s">
        <v>86</v>
      </c>
      <c r="E5" s="306"/>
      <c r="H5" t="s">
        <v>174</v>
      </c>
    </row>
    <row r="6" spans="1:15" ht="33" customHeight="1" thickBot="1" x14ac:dyDescent="0.4">
      <c r="A6" s="243" t="s">
        <v>11</v>
      </c>
      <c r="B6" s="244"/>
      <c r="D6" s="307"/>
      <c r="E6" s="308"/>
    </row>
    <row r="7" spans="1:15" ht="15.5" thickTop="1" thickBot="1" x14ac:dyDescent="0.4">
      <c r="A7" s="219" t="s">
        <v>79</v>
      </c>
      <c r="B7" s="220"/>
      <c r="C7" s="3"/>
      <c r="D7" s="99" t="s">
        <v>88</v>
      </c>
      <c r="E7" s="100" t="s">
        <v>89</v>
      </c>
    </row>
    <row r="8" spans="1:15" ht="29.5" thickTop="1" x14ac:dyDescent="0.35">
      <c r="A8" s="13"/>
      <c r="B8" s="13"/>
      <c r="C8" s="3"/>
      <c r="D8" s="14"/>
      <c r="E8" s="14"/>
      <c r="H8" s="185" t="s">
        <v>175</v>
      </c>
      <c r="I8" s="191" t="s">
        <v>176</v>
      </c>
      <c r="J8" s="185" t="s">
        <v>177</v>
      </c>
      <c r="K8" s="185"/>
      <c r="L8" s="185"/>
      <c r="M8" s="185"/>
      <c r="N8" s="185"/>
    </row>
    <row r="9" spans="1:15" ht="29.5" x14ac:dyDescent="0.55000000000000004">
      <c r="A9" s="223" t="s">
        <v>87</v>
      </c>
      <c r="B9" s="223"/>
      <c r="C9" s="223"/>
      <c r="D9" s="223"/>
      <c r="E9" s="223"/>
      <c r="G9" t="s">
        <v>185</v>
      </c>
      <c r="H9" s="195">
        <v>15172</v>
      </c>
      <c r="I9" s="134">
        <v>11835</v>
      </c>
      <c r="J9" s="195">
        <f>H9-I9</f>
        <v>3337</v>
      </c>
    </row>
    <row r="10" spans="1:15" ht="15" thickBot="1" x14ac:dyDescent="0.4">
      <c r="A10" s="224" t="s">
        <v>195</v>
      </c>
      <c r="B10" s="224"/>
      <c r="C10" s="3"/>
      <c r="D10" s="3"/>
      <c r="E10" s="15"/>
      <c r="G10" t="s">
        <v>186</v>
      </c>
      <c r="H10" s="195">
        <v>11023</v>
      </c>
      <c r="I10" s="134">
        <v>15172</v>
      </c>
      <c r="J10" s="204">
        <f>I10-H10</f>
        <v>4149</v>
      </c>
    </row>
    <row r="11" spans="1:15" ht="15.5" thickTop="1" thickBot="1" x14ac:dyDescent="0.4">
      <c r="A11" s="16" t="s">
        <v>14</v>
      </c>
      <c r="B11" s="69" t="s">
        <v>15</v>
      </c>
      <c r="C11" s="70"/>
      <c r="D11" s="79"/>
      <c r="E11" s="17" t="s">
        <v>16</v>
      </c>
    </row>
    <row r="12" spans="1:15" ht="17.5" thickTop="1" x14ac:dyDescent="0.4">
      <c r="A12" s="71">
        <v>1</v>
      </c>
      <c r="B12" s="19" t="s">
        <v>157</v>
      </c>
      <c r="C12" s="20"/>
      <c r="D12" s="196"/>
      <c r="E12" s="38">
        <v>2000000</v>
      </c>
    </row>
    <row r="13" spans="1:15" ht="17" x14ac:dyDescent="0.4">
      <c r="A13" s="72"/>
      <c r="B13" s="53" t="s">
        <v>158</v>
      </c>
      <c r="C13" s="34"/>
      <c r="D13" s="197"/>
      <c r="E13" s="198"/>
      <c r="K13" s="192"/>
      <c r="L13" s="192"/>
      <c r="M13" s="192"/>
      <c r="N13" s="192"/>
      <c r="O13" s="192"/>
    </row>
    <row r="14" spans="1:15" ht="17" x14ac:dyDescent="0.4">
      <c r="A14" s="72"/>
      <c r="B14" s="53" t="s">
        <v>82</v>
      </c>
      <c r="C14" s="34"/>
      <c r="D14" s="197"/>
      <c r="E14" s="198"/>
      <c r="G14" t="s">
        <v>185</v>
      </c>
      <c r="H14">
        <f>J10</f>
        <v>4149</v>
      </c>
      <c r="I14" s="134" t="s">
        <v>183</v>
      </c>
      <c r="J14" s="190">
        <v>0.88</v>
      </c>
      <c r="K14" s="194" t="s">
        <v>184</v>
      </c>
      <c r="L14" s="192">
        <f>J14*H14</f>
        <v>3651.12</v>
      </c>
      <c r="M14" s="194" t="s">
        <v>187</v>
      </c>
      <c r="N14" s="193">
        <f>J9</f>
        <v>3337</v>
      </c>
      <c r="O14" s="188">
        <f>L14+N14</f>
        <v>6988.12</v>
      </c>
    </row>
    <row r="15" spans="1:15" ht="17" x14ac:dyDescent="0.4">
      <c r="A15" s="72"/>
      <c r="B15" s="22" t="s">
        <v>92</v>
      </c>
      <c r="C15" s="23">
        <v>11835</v>
      </c>
      <c r="D15" s="199"/>
      <c r="E15" s="198"/>
      <c r="G15" t="s">
        <v>188</v>
      </c>
      <c r="H15">
        <f>H14</f>
        <v>4149</v>
      </c>
      <c r="I15" s="134" t="s">
        <v>183</v>
      </c>
      <c r="J15" s="190">
        <v>0.12</v>
      </c>
      <c r="K15" s="194" t="s">
        <v>184</v>
      </c>
      <c r="L15" s="188">
        <f>J15*H15</f>
        <v>497.88</v>
      </c>
      <c r="M15" s="192"/>
      <c r="N15" s="192"/>
      <c r="O15" s="192"/>
    </row>
    <row r="16" spans="1:15" ht="17" x14ac:dyDescent="0.4">
      <c r="A16" s="72"/>
      <c r="B16" s="22" t="s">
        <v>19</v>
      </c>
      <c r="C16" s="26">
        <v>15172</v>
      </c>
      <c r="D16" s="200" t="s">
        <v>20</v>
      </c>
      <c r="E16" s="198"/>
      <c r="K16" s="192"/>
      <c r="L16" s="192"/>
      <c r="M16" s="192"/>
      <c r="N16" s="192"/>
      <c r="O16" s="192"/>
    </row>
    <row r="17" spans="1:5" ht="17" x14ac:dyDescent="0.4">
      <c r="A17" s="72"/>
      <c r="B17" s="22" t="s">
        <v>21</v>
      </c>
      <c r="C17" s="67">
        <f>+C16-C15</f>
        <v>3337</v>
      </c>
      <c r="D17" s="200"/>
      <c r="E17" s="198"/>
    </row>
    <row r="18" spans="1:5" ht="17" x14ac:dyDescent="0.4">
      <c r="A18" s="72"/>
      <c r="B18" s="22" t="s">
        <v>22</v>
      </c>
      <c r="C18" s="91">
        <v>11539</v>
      </c>
      <c r="D18" s="200" t="s">
        <v>20</v>
      </c>
      <c r="E18" s="198"/>
    </row>
    <row r="19" spans="1:5" ht="17.5" thickBot="1" x14ac:dyDescent="0.45">
      <c r="A19" s="72"/>
      <c r="B19" s="22" t="s">
        <v>21</v>
      </c>
      <c r="C19" s="67">
        <f>C17-C18</f>
        <v>-8202</v>
      </c>
      <c r="D19" s="200"/>
      <c r="E19" s="198"/>
    </row>
    <row r="20" spans="1:5" ht="17.5" thickTop="1" x14ac:dyDescent="0.4">
      <c r="A20" s="18"/>
      <c r="B20" s="19" t="s">
        <v>96</v>
      </c>
      <c r="C20" s="20"/>
      <c r="D20" s="196"/>
      <c r="E20" s="38"/>
    </row>
    <row r="21" spans="1:5" ht="17" x14ac:dyDescent="0.4">
      <c r="A21" s="28"/>
      <c r="B21" s="22" t="s">
        <v>93</v>
      </c>
      <c r="C21" s="23">
        <v>498</v>
      </c>
      <c r="D21" s="199"/>
      <c r="E21" s="198"/>
    </row>
    <row r="22" spans="1:5" ht="17.25" customHeight="1" x14ac:dyDescent="0.4">
      <c r="A22" s="28"/>
      <c r="B22" s="22" t="s">
        <v>19</v>
      </c>
      <c r="C22" s="26">
        <v>259</v>
      </c>
      <c r="D22" s="200" t="s">
        <v>20</v>
      </c>
      <c r="E22" s="198"/>
    </row>
    <row r="23" spans="1:5" ht="17" x14ac:dyDescent="0.4">
      <c r="A23" s="28"/>
      <c r="B23" s="22" t="s">
        <v>21</v>
      </c>
      <c r="C23" s="67">
        <f>+C22-C21</f>
        <v>-239</v>
      </c>
      <c r="D23" s="200"/>
      <c r="E23" s="198"/>
    </row>
    <row r="24" spans="1:5" ht="16.5" customHeight="1" x14ac:dyDescent="0.4">
      <c r="A24" s="28"/>
      <c r="B24" s="22" t="s">
        <v>22</v>
      </c>
      <c r="C24" s="26">
        <v>462</v>
      </c>
      <c r="D24" s="200" t="s">
        <v>20</v>
      </c>
      <c r="E24" s="198"/>
    </row>
    <row r="25" spans="1:5" ht="17.25" customHeight="1" thickBot="1" x14ac:dyDescent="0.45">
      <c r="A25" s="28"/>
      <c r="B25" s="22" t="s">
        <v>21</v>
      </c>
      <c r="C25" s="67">
        <f>+C23-C24</f>
        <v>-701</v>
      </c>
      <c r="D25" s="200"/>
      <c r="E25" s="198"/>
    </row>
    <row r="26" spans="1:5" ht="18.75" customHeight="1" thickTop="1" thickBot="1" x14ac:dyDescent="0.45">
      <c r="A26" s="29">
        <v>2</v>
      </c>
      <c r="B26" s="30" t="s">
        <v>98</v>
      </c>
      <c r="C26" s="31" t="s">
        <v>24</v>
      </c>
      <c r="D26" s="201">
        <v>100</v>
      </c>
      <c r="E26" s="179">
        <v>0</v>
      </c>
    </row>
    <row r="27" spans="1:5" ht="17.25" customHeight="1" thickTop="1" thickBot="1" x14ac:dyDescent="0.45">
      <c r="A27" s="29">
        <v>3</v>
      </c>
      <c r="B27" s="30" t="s">
        <v>99</v>
      </c>
      <c r="C27" s="31" t="s">
        <v>24</v>
      </c>
      <c r="D27" s="201">
        <v>1000</v>
      </c>
      <c r="E27" s="179">
        <v>0</v>
      </c>
    </row>
    <row r="28" spans="1:5" ht="21.75" customHeight="1" thickTop="1" thickBot="1" x14ac:dyDescent="0.45">
      <c r="A28" s="34"/>
      <c r="B28" s="34"/>
      <c r="C28" s="34"/>
      <c r="D28" s="180" t="s">
        <v>25</v>
      </c>
      <c r="E28" s="179">
        <f>E12+E27+E26</f>
        <v>2000000</v>
      </c>
    </row>
    <row r="29" spans="1:5" ht="16.5" thickTop="1" thickBot="1" x14ac:dyDescent="0.4">
      <c r="A29" s="34"/>
      <c r="B29" s="34"/>
      <c r="C29" s="34"/>
      <c r="D29" s="181" t="s">
        <v>172</v>
      </c>
      <c r="E29" s="182"/>
    </row>
    <row r="30" spans="1:5" ht="16.5" thickTop="1" thickBot="1" x14ac:dyDescent="0.4">
      <c r="A30" s="177" t="s">
        <v>26</v>
      </c>
      <c r="B30" s="178"/>
      <c r="C30" s="34"/>
      <c r="D30" s="181" t="s">
        <v>171</v>
      </c>
      <c r="E30" s="182"/>
    </row>
    <row r="31" spans="1:5" ht="18" customHeight="1" thickTop="1" thickBot="1" x14ac:dyDescent="0.45">
      <c r="A31" s="183" t="s">
        <v>45</v>
      </c>
      <c r="B31" s="184"/>
      <c r="C31" s="41"/>
      <c r="D31" s="180" t="s">
        <v>29</v>
      </c>
      <c r="E31" s="85">
        <f>+E28+E30</f>
        <v>2000000</v>
      </c>
    </row>
    <row r="32" spans="1:5" ht="13.5" customHeight="1" thickTop="1" x14ac:dyDescent="0.4">
      <c r="A32" s="205" t="s">
        <v>46</v>
      </c>
      <c r="B32" s="206"/>
      <c r="C32" s="41"/>
      <c r="D32" s="35"/>
      <c r="E32" s="87"/>
    </row>
    <row r="33" spans="1:5" ht="13.5" customHeight="1" x14ac:dyDescent="0.4">
      <c r="A33" s="205" t="s">
        <v>80</v>
      </c>
      <c r="B33" s="206"/>
      <c r="C33" s="41"/>
      <c r="D33" s="35"/>
      <c r="E33" s="87"/>
    </row>
    <row r="34" spans="1:5" ht="13.5" customHeight="1" x14ac:dyDescent="0.4">
      <c r="A34" s="205" t="s">
        <v>81</v>
      </c>
      <c r="B34" s="206"/>
      <c r="C34" s="41"/>
      <c r="D34" s="35"/>
      <c r="E34" s="87"/>
    </row>
    <row r="35" spans="1:5" ht="17.25" customHeight="1" x14ac:dyDescent="0.35">
      <c r="A35" s="173" t="s">
        <v>28</v>
      </c>
      <c r="B35" s="174"/>
      <c r="C35" s="3"/>
      <c r="D35" s="3"/>
      <c r="E35" s="15"/>
    </row>
    <row r="36" spans="1:5" ht="13.5" customHeight="1" thickBot="1" x14ac:dyDescent="0.4">
      <c r="A36" s="175" t="s">
        <v>30</v>
      </c>
      <c r="B36" s="176"/>
      <c r="C36" s="3"/>
      <c r="D36" s="3"/>
      <c r="E36" s="15"/>
    </row>
    <row r="37" spans="1:5" ht="13.5" customHeight="1" thickTop="1" x14ac:dyDescent="0.35">
      <c r="A37" s="106"/>
      <c r="B37" s="106"/>
      <c r="C37" s="106"/>
      <c r="D37" s="106"/>
      <c r="E37" s="106"/>
    </row>
    <row r="38" spans="1:5" ht="13.5" customHeight="1" x14ac:dyDescent="0.35">
      <c r="A38" s="106"/>
      <c r="B38" s="106"/>
      <c r="C38" s="106"/>
      <c r="D38" s="106"/>
      <c r="E38" s="106"/>
    </row>
    <row r="39" spans="1:5" ht="13.5" customHeight="1" x14ac:dyDescent="0.35">
      <c r="A39" s="211" t="s">
        <v>33</v>
      </c>
      <c r="B39" s="211"/>
      <c r="C39" s="211" t="s">
        <v>1</v>
      </c>
      <c r="D39" s="211"/>
      <c r="E39" s="211"/>
    </row>
    <row r="40" spans="1:5" ht="13.5" customHeight="1" x14ac:dyDescent="0.35"/>
    <row r="41" spans="1:5" ht="16.5" customHeight="1" x14ac:dyDescent="0.35"/>
    <row r="43" spans="1:5" x14ac:dyDescent="0.35">
      <c r="A43" s="212" t="s">
        <v>34</v>
      </c>
      <c r="B43" s="212"/>
      <c r="C43" s="277" t="s">
        <v>149</v>
      </c>
      <c r="D43" s="277"/>
      <c r="E43" s="277"/>
    </row>
    <row r="44" spans="1:5" x14ac:dyDescent="0.35">
      <c r="D44" s="51" t="s">
        <v>102</v>
      </c>
      <c r="E44" s="51"/>
    </row>
    <row r="45" spans="1:5" ht="15" thickBot="1" x14ac:dyDescent="0.4">
      <c r="D45" s="51"/>
      <c r="E45" s="51"/>
    </row>
    <row r="46" spans="1:5" ht="15.5" thickTop="1" thickBot="1" x14ac:dyDescent="0.4">
      <c r="A46" s="266" t="s">
        <v>1</v>
      </c>
      <c r="B46" s="267"/>
      <c r="C46" s="3"/>
      <c r="D46" s="96" t="s">
        <v>0</v>
      </c>
      <c r="E46" s="97" t="s">
        <v>193</v>
      </c>
    </row>
    <row r="47" spans="1:5" ht="15.5" thickTop="1" thickBot="1" x14ac:dyDescent="0.4">
      <c r="A47" s="254"/>
      <c r="B47" s="255"/>
      <c r="C47" s="3"/>
      <c r="D47" s="98" t="s">
        <v>2</v>
      </c>
      <c r="E47" s="97">
        <v>46027</v>
      </c>
    </row>
    <row r="48" spans="1:5" ht="21.75" customHeight="1" thickTop="1" thickBot="1" x14ac:dyDescent="0.4">
      <c r="A48" s="256" t="s">
        <v>104</v>
      </c>
      <c r="B48" s="257"/>
      <c r="C48" s="3"/>
      <c r="D48" s="99" t="s">
        <v>4</v>
      </c>
      <c r="E48" s="100"/>
    </row>
    <row r="49" spans="1:15" ht="22.5" customHeight="1" thickTop="1" thickBot="1" x14ac:dyDescent="0.4">
      <c r="A49" s="256" t="s">
        <v>77</v>
      </c>
      <c r="B49" s="257"/>
      <c r="C49" s="3"/>
      <c r="D49" s="101" t="s">
        <v>90</v>
      </c>
      <c r="E49" s="100"/>
    </row>
    <row r="50" spans="1:15" ht="24.75" customHeight="1" thickTop="1" x14ac:dyDescent="0.35">
      <c r="A50" s="256" t="s">
        <v>78</v>
      </c>
      <c r="B50" s="257"/>
      <c r="C50" s="3"/>
      <c r="D50" s="305" t="s">
        <v>86</v>
      </c>
      <c r="E50" s="306"/>
      <c r="H50" t="s">
        <v>174</v>
      </c>
    </row>
    <row r="51" spans="1:15" ht="33" customHeight="1" thickBot="1" x14ac:dyDescent="0.4">
      <c r="A51" s="243" t="s">
        <v>11</v>
      </c>
      <c r="B51" s="244"/>
      <c r="D51" s="307"/>
      <c r="E51" s="308"/>
    </row>
    <row r="52" spans="1:15" ht="15.5" thickTop="1" thickBot="1" x14ac:dyDescent="0.4">
      <c r="A52" s="219" t="s">
        <v>79</v>
      </c>
      <c r="B52" s="220"/>
      <c r="C52" s="3"/>
      <c r="D52" s="99" t="s">
        <v>88</v>
      </c>
      <c r="E52" s="100" t="s">
        <v>89</v>
      </c>
    </row>
    <row r="53" spans="1:15" ht="29.5" thickTop="1" x14ac:dyDescent="0.35">
      <c r="A53" s="13"/>
      <c r="B53" s="13"/>
      <c r="C53" s="3"/>
      <c r="D53" s="14"/>
      <c r="E53" s="14"/>
      <c r="H53" s="185" t="s">
        <v>175</v>
      </c>
      <c r="I53" s="191" t="s">
        <v>176</v>
      </c>
      <c r="J53" s="185" t="s">
        <v>177</v>
      </c>
      <c r="K53" s="185"/>
      <c r="L53" s="185"/>
      <c r="M53" s="185"/>
      <c r="N53" s="185"/>
    </row>
    <row r="54" spans="1:15" ht="29.5" x14ac:dyDescent="0.55000000000000004">
      <c r="A54" s="223" t="s">
        <v>87</v>
      </c>
      <c r="B54" s="223"/>
      <c r="C54" s="223"/>
      <c r="D54" s="223"/>
      <c r="E54" s="223"/>
      <c r="G54" t="s">
        <v>185</v>
      </c>
      <c r="H54" s="195">
        <v>11835</v>
      </c>
      <c r="I54" s="134">
        <v>15172</v>
      </c>
      <c r="J54" s="195">
        <f>I54-H54</f>
        <v>3337</v>
      </c>
    </row>
    <row r="55" spans="1:15" ht="15" thickBot="1" x14ac:dyDescent="0.4">
      <c r="A55" s="224" t="s">
        <v>194</v>
      </c>
      <c r="B55" s="224"/>
      <c r="C55" s="3"/>
      <c r="D55" s="3"/>
      <c r="E55" s="15"/>
      <c r="G55" t="s">
        <v>186</v>
      </c>
      <c r="H55" s="195">
        <v>6347</v>
      </c>
      <c r="I55" s="134">
        <v>8598</v>
      </c>
      <c r="J55" s="204">
        <f>I55-H55</f>
        <v>2251</v>
      </c>
    </row>
    <row r="56" spans="1:15" ht="15.5" thickTop="1" thickBot="1" x14ac:dyDescent="0.4">
      <c r="A56" s="16" t="s">
        <v>14</v>
      </c>
      <c r="B56" s="69" t="s">
        <v>15</v>
      </c>
      <c r="C56" s="70"/>
      <c r="D56" s="79"/>
      <c r="E56" s="17" t="s">
        <v>16</v>
      </c>
    </row>
    <row r="57" spans="1:15" ht="17.5" thickTop="1" x14ac:dyDescent="0.4">
      <c r="A57" s="71">
        <v>1</v>
      </c>
      <c r="B57" s="19" t="s">
        <v>157</v>
      </c>
      <c r="C57" s="20"/>
      <c r="D57" s="196"/>
      <c r="E57" s="38">
        <v>2000000</v>
      </c>
    </row>
    <row r="58" spans="1:15" ht="17" x14ac:dyDescent="0.4">
      <c r="A58" s="72"/>
      <c r="B58" s="53" t="s">
        <v>158</v>
      </c>
      <c r="C58" s="34"/>
      <c r="D58" s="197"/>
      <c r="E58" s="198"/>
      <c r="K58" s="192"/>
      <c r="L58" s="192"/>
      <c r="M58" s="192"/>
      <c r="N58" s="192"/>
      <c r="O58" s="192"/>
    </row>
    <row r="59" spans="1:15" ht="17" x14ac:dyDescent="0.4">
      <c r="A59" s="72"/>
      <c r="B59" s="53" t="s">
        <v>82</v>
      </c>
      <c r="C59" s="34"/>
      <c r="D59" s="197"/>
      <c r="E59" s="198"/>
      <c r="G59" t="s">
        <v>185</v>
      </c>
      <c r="H59">
        <f>J55</f>
        <v>2251</v>
      </c>
      <c r="I59" s="134" t="s">
        <v>183</v>
      </c>
      <c r="J59" s="190">
        <v>0.88</v>
      </c>
      <c r="K59" s="194" t="s">
        <v>184</v>
      </c>
      <c r="L59" s="192">
        <f>J59*H59</f>
        <v>1980.88</v>
      </c>
      <c r="M59" s="194" t="s">
        <v>187</v>
      </c>
      <c r="N59" s="193">
        <f>J54</f>
        <v>3337</v>
      </c>
      <c r="O59" s="188">
        <f>L59+N59</f>
        <v>5317.88</v>
      </c>
    </row>
    <row r="60" spans="1:15" ht="17" x14ac:dyDescent="0.4">
      <c r="A60" s="72"/>
      <c r="B60" s="22" t="s">
        <v>92</v>
      </c>
      <c r="C60" s="23">
        <v>7487</v>
      </c>
      <c r="D60" s="199"/>
      <c r="E60" s="198"/>
      <c r="G60" t="s">
        <v>188</v>
      </c>
      <c r="H60">
        <f>H59</f>
        <v>2251</v>
      </c>
      <c r="I60" s="134" t="s">
        <v>183</v>
      </c>
      <c r="J60" s="190">
        <v>0.12</v>
      </c>
      <c r="K60" s="194" t="s">
        <v>184</v>
      </c>
      <c r="L60" s="188">
        <f>J60*H60</f>
        <v>270.12</v>
      </c>
      <c r="M60" s="192"/>
      <c r="N60" s="192"/>
      <c r="O60" s="192"/>
    </row>
    <row r="61" spans="1:15" ht="17" x14ac:dyDescent="0.4">
      <c r="A61" s="72"/>
      <c r="B61" s="22" t="s">
        <v>19</v>
      </c>
      <c r="C61" s="26">
        <v>11835</v>
      </c>
      <c r="D61" s="200" t="s">
        <v>20</v>
      </c>
      <c r="E61" s="198"/>
      <c r="K61" s="192"/>
      <c r="L61" s="192"/>
      <c r="M61" s="192"/>
      <c r="N61" s="192"/>
      <c r="O61" s="192"/>
    </row>
    <row r="62" spans="1:15" ht="17" x14ac:dyDescent="0.4">
      <c r="A62" s="72"/>
      <c r="B62" s="22" t="s">
        <v>21</v>
      </c>
      <c r="C62" s="67">
        <f>+C61-C60</f>
        <v>4348</v>
      </c>
      <c r="D62" s="200"/>
      <c r="E62" s="198"/>
    </row>
    <row r="63" spans="1:15" ht="17" x14ac:dyDescent="0.4">
      <c r="A63" s="72"/>
      <c r="B63" s="22" t="s">
        <v>22</v>
      </c>
      <c r="C63" s="91">
        <v>11539</v>
      </c>
      <c r="D63" s="200" t="s">
        <v>20</v>
      </c>
      <c r="E63" s="198"/>
    </row>
    <row r="64" spans="1:15" ht="17.5" thickBot="1" x14ac:dyDescent="0.45">
      <c r="A64" s="72"/>
      <c r="B64" s="22" t="s">
        <v>21</v>
      </c>
      <c r="C64" s="67">
        <f>C62-C63</f>
        <v>-7191</v>
      </c>
      <c r="D64" s="200"/>
      <c r="E64" s="198"/>
    </row>
    <row r="65" spans="1:5" ht="17.5" thickTop="1" x14ac:dyDescent="0.4">
      <c r="A65" s="18"/>
      <c r="B65" s="19" t="s">
        <v>96</v>
      </c>
      <c r="C65" s="20"/>
      <c r="D65" s="196"/>
      <c r="E65" s="38"/>
    </row>
    <row r="66" spans="1:5" ht="17" x14ac:dyDescent="0.4">
      <c r="A66" s="28"/>
      <c r="B66" s="22" t="s">
        <v>93</v>
      </c>
      <c r="C66" s="23">
        <v>462</v>
      </c>
      <c r="D66" s="199"/>
      <c r="E66" s="198"/>
    </row>
    <row r="67" spans="1:5" ht="17.25" customHeight="1" x14ac:dyDescent="0.4">
      <c r="A67" s="28"/>
      <c r="B67" s="22" t="s">
        <v>19</v>
      </c>
      <c r="C67" s="26">
        <v>270</v>
      </c>
      <c r="D67" s="200" t="s">
        <v>20</v>
      </c>
      <c r="E67" s="198"/>
    </row>
    <row r="68" spans="1:5" ht="17" x14ac:dyDescent="0.4">
      <c r="A68" s="28"/>
      <c r="B68" s="22" t="s">
        <v>21</v>
      </c>
      <c r="C68" s="67">
        <f>+C67-C66</f>
        <v>-192</v>
      </c>
      <c r="D68" s="200"/>
      <c r="E68" s="198"/>
    </row>
    <row r="69" spans="1:5" ht="16.5" customHeight="1" x14ac:dyDescent="0.4">
      <c r="A69" s="28"/>
      <c r="B69" s="22" t="s">
        <v>22</v>
      </c>
      <c r="C69" s="26">
        <v>462</v>
      </c>
      <c r="D69" s="200" t="s">
        <v>20</v>
      </c>
      <c r="E69" s="198"/>
    </row>
    <row r="70" spans="1:5" ht="17.25" customHeight="1" thickBot="1" x14ac:dyDescent="0.45">
      <c r="A70" s="28"/>
      <c r="B70" s="22" t="s">
        <v>21</v>
      </c>
      <c r="C70" s="67">
        <f>+C68-C69</f>
        <v>-654</v>
      </c>
      <c r="D70" s="200"/>
      <c r="E70" s="198"/>
    </row>
    <row r="71" spans="1:5" ht="18.75" customHeight="1" thickTop="1" thickBot="1" x14ac:dyDescent="0.45">
      <c r="A71" s="29">
        <v>2</v>
      </c>
      <c r="B71" s="30" t="s">
        <v>98</v>
      </c>
      <c r="C71" s="31" t="s">
        <v>24</v>
      </c>
      <c r="D71" s="201">
        <v>100</v>
      </c>
      <c r="E71" s="179">
        <v>0</v>
      </c>
    </row>
    <row r="72" spans="1:5" ht="17.25" customHeight="1" thickTop="1" thickBot="1" x14ac:dyDescent="0.45">
      <c r="A72" s="29">
        <v>3</v>
      </c>
      <c r="B72" s="30" t="s">
        <v>99</v>
      </c>
      <c r="C72" s="31" t="s">
        <v>24</v>
      </c>
      <c r="D72" s="201">
        <v>1000</v>
      </c>
      <c r="E72" s="179">
        <v>0</v>
      </c>
    </row>
    <row r="73" spans="1:5" ht="21.75" customHeight="1" thickTop="1" thickBot="1" x14ac:dyDescent="0.45">
      <c r="A73" s="34"/>
      <c r="B73" s="34"/>
      <c r="C73" s="34"/>
      <c r="D73" s="180" t="s">
        <v>25</v>
      </c>
      <c r="E73" s="179">
        <f>E57+E72+E71</f>
        <v>2000000</v>
      </c>
    </row>
    <row r="74" spans="1:5" ht="16.5" thickTop="1" thickBot="1" x14ac:dyDescent="0.4">
      <c r="A74" s="34"/>
      <c r="B74" s="34"/>
      <c r="C74" s="34"/>
      <c r="D74" s="181" t="s">
        <v>172</v>
      </c>
      <c r="E74" s="182"/>
    </row>
    <row r="75" spans="1:5" ht="16.5" thickTop="1" thickBot="1" x14ac:dyDescent="0.4">
      <c r="A75" s="177" t="s">
        <v>26</v>
      </c>
      <c r="B75" s="178"/>
      <c r="C75" s="34"/>
      <c r="D75" s="181" t="s">
        <v>171</v>
      </c>
      <c r="E75" s="182"/>
    </row>
    <row r="76" spans="1:5" ht="18" customHeight="1" thickTop="1" thickBot="1" x14ac:dyDescent="0.45">
      <c r="A76" s="183" t="s">
        <v>45</v>
      </c>
      <c r="B76" s="184"/>
      <c r="C76" s="41"/>
      <c r="D76" s="180" t="s">
        <v>29</v>
      </c>
      <c r="E76" s="85">
        <f>+E73+E75</f>
        <v>2000000</v>
      </c>
    </row>
    <row r="77" spans="1:5" ht="13.5" customHeight="1" thickTop="1" x14ac:dyDescent="0.4">
      <c r="A77" s="205" t="s">
        <v>46</v>
      </c>
      <c r="B77" s="206"/>
      <c r="C77" s="41"/>
      <c r="D77" s="35"/>
      <c r="E77" s="87"/>
    </row>
    <row r="78" spans="1:5" ht="13.5" customHeight="1" x14ac:dyDescent="0.4">
      <c r="A78" s="205" t="s">
        <v>80</v>
      </c>
      <c r="B78" s="206"/>
      <c r="C78" s="41"/>
      <c r="D78" s="35"/>
      <c r="E78" s="87"/>
    </row>
    <row r="79" spans="1:5" ht="13.5" customHeight="1" x14ac:dyDescent="0.4">
      <c r="A79" s="205" t="s">
        <v>81</v>
      </c>
      <c r="B79" s="206"/>
      <c r="C79" s="41"/>
      <c r="D79" s="35"/>
      <c r="E79" s="87"/>
    </row>
    <row r="80" spans="1:5" ht="17.25" customHeight="1" x14ac:dyDescent="0.35">
      <c r="A80" s="173" t="s">
        <v>28</v>
      </c>
      <c r="B80" s="174"/>
      <c r="C80" s="3"/>
      <c r="D80" s="3"/>
      <c r="E80" s="15"/>
    </row>
    <row r="81" spans="1:8" ht="13.5" customHeight="1" thickBot="1" x14ac:dyDescent="0.4">
      <c r="A81" s="175" t="s">
        <v>30</v>
      </c>
      <c r="B81" s="176"/>
      <c r="C81" s="3"/>
      <c r="D81" s="3"/>
      <c r="E81" s="15"/>
    </row>
    <row r="82" spans="1:8" ht="13.5" customHeight="1" thickTop="1" x14ac:dyDescent="0.35">
      <c r="A82" s="106"/>
      <c r="B82" s="106"/>
      <c r="C82" s="106"/>
      <c r="D82" s="106"/>
      <c r="E82" s="106"/>
    </row>
    <row r="83" spans="1:8" ht="13.5" customHeight="1" x14ac:dyDescent="0.35">
      <c r="A83" s="106"/>
      <c r="B83" s="106"/>
      <c r="C83" s="106"/>
      <c r="D83" s="106"/>
      <c r="E83" s="106"/>
    </row>
    <row r="84" spans="1:8" ht="13.5" customHeight="1" x14ac:dyDescent="0.35">
      <c r="A84" s="211" t="s">
        <v>33</v>
      </c>
      <c r="B84" s="211"/>
      <c r="C84" s="211" t="s">
        <v>1</v>
      </c>
      <c r="D84" s="211"/>
      <c r="E84" s="211"/>
    </row>
    <row r="85" spans="1:8" ht="13.5" customHeight="1" x14ac:dyDescent="0.35"/>
    <row r="86" spans="1:8" ht="16.5" customHeight="1" x14ac:dyDescent="0.35"/>
    <row r="88" spans="1:8" x14ac:dyDescent="0.35">
      <c r="A88" s="212" t="s">
        <v>34</v>
      </c>
      <c r="B88" s="212"/>
      <c r="C88" s="277" t="s">
        <v>149</v>
      </c>
      <c r="D88" s="277"/>
      <c r="E88" s="277"/>
    </row>
    <row r="89" spans="1:8" x14ac:dyDescent="0.35">
      <c r="D89" s="51" t="s">
        <v>102</v>
      </c>
      <c r="E89" s="51"/>
    </row>
    <row r="90" spans="1:8" ht="15" thickBot="1" x14ac:dyDescent="0.4">
      <c r="D90" s="51"/>
      <c r="E90" s="51"/>
    </row>
    <row r="91" spans="1:8" ht="15.5" thickTop="1" thickBot="1" x14ac:dyDescent="0.4">
      <c r="A91" s="266" t="s">
        <v>1</v>
      </c>
      <c r="B91" s="267"/>
      <c r="C91" s="3"/>
      <c r="D91" s="96" t="s">
        <v>0</v>
      </c>
      <c r="E91" s="97" t="s">
        <v>167</v>
      </c>
    </row>
    <row r="92" spans="1:8" ht="15.5" thickTop="1" thickBot="1" x14ac:dyDescent="0.4">
      <c r="A92" s="254"/>
      <c r="B92" s="255"/>
      <c r="C92" s="3"/>
      <c r="D92" s="98" t="s">
        <v>2</v>
      </c>
      <c r="E92" s="97">
        <v>45978</v>
      </c>
    </row>
    <row r="93" spans="1:8" ht="21.75" customHeight="1" thickTop="1" thickBot="1" x14ac:dyDescent="0.4">
      <c r="A93" s="256" t="s">
        <v>104</v>
      </c>
      <c r="B93" s="257"/>
      <c r="C93" s="3"/>
      <c r="D93" s="99" t="s">
        <v>4</v>
      </c>
      <c r="E93" s="100"/>
    </row>
    <row r="94" spans="1:8" ht="22.5" customHeight="1" thickTop="1" thickBot="1" x14ac:dyDescent="0.4">
      <c r="A94" s="256" t="s">
        <v>77</v>
      </c>
      <c r="B94" s="257"/>
      <c r="C94" s="3"/>
      <c r="D94" s="101" t="s">
        <v>90</v>
      </c>
      <c r="E94" s="100"/>
    </row>
    <row r="95" spans="1:8" ht="24.75" customHeight="1" thickTop="1" x14ac:dyDescent="0.35">
      <c r="A95" s="256" t="s">
        <v>78</v>
      </c>
      <c r="B95" s="257"/>
      <c r="C95" s="3"/>
      <c r="D95" s="305" t="s">
        <v>86</v>
      </c>
      <c r="E95" s="306"/>
      <c r="H95" t="s">
        <v>174</v>
      </c>
    </row>
    <row r="96" spans="1:8" ht="33" customHeight="1" thickBot="1" x14ac:dyDescent="0.4">
      <c r="A96" s="243" t="s">
        <v>11</v>
      </c>
      <c r="B96" s="244"/>
      <c r="D96" s="307"/>
      <c r="E96" s="308"/>
    </row>
    <row r="97" spans="1:15" ht="15.5" thickTop="1" thickBot="1" x14ac:dyDescent="0.4">
      <c r="A97" s="219" t="s">
        <v>79</v>
      </c>
      <c r="B97" s="220"/>
      <c r="C97" s="3"/>
      <c r="D97" s="99" t="s">
        <v>88</v>
      </c>
      <c r="E97" s="100" t="s">
        <v>89</v>
      </c>
    </row>
    <row r="98" spans="1:15" ht="29.5" thickTop="1" x14ac:dyDescent="0.35">
      <c r="A98" s="13"/>
      <c r="B98" s="13"/>
      <c r="C98" s="3"/>
      <c r="D98" s="14"/>
      <c r="E98" s="14"/>
      <c r="H98" s="185" t="s">
        <v>175</v>
      </c>
      <c r="I98" s="191" t="s">
        <v>176</v>
      </c>
      <c r="J98" s="185" t="s">
        <v>177</v>
      </c>
      <c r="K98" s="185"/>
      <c r="L98" s="185"/>
      <c r="M98" s="185"/>
      <c r="N98" s="185"/>
    </row>
    <row r="99" spans="1:15" ht="29.5" x14ac:dyDescent="0.55000000000000004">
      <c r="A99" s="223" t="s">
        <v>87</v>
      </c>
      <c r="B99" s="223"/>
      <c r="C99" s="223"/>
      <c r="D99" s="223"/>
      <c r="E99" s="223"/>
      <c r="G99" t="s">
        <v>185</v>
      </c>
      <c r="H99" s="195">
        <v>7487</v>
      </c>
      <c r="I99" s="134">
        <v>11835</v>
      </c>
      <c r="J99">
        <f>I99-H99</f>
        <v>4348</v>
      </c>
    </row>
    <row r="100" spans="1:15" ht="15" thickBot="1" x14ac:dyDescent="0.4">
      <c r="A100" s="224" t="s">
        <v>173</v>
      </c>
      <c r="B100" s="224"/>
      <c r="C100" s="3"/>
      <c r="D100" s="3"/>
      <c r="E100" s="15"/>
      <c r="G100" t="s">
        <v>186</v>
      </c>
      <c r="H100" s="195">
        <v>4187</v>
      </c>
      <c r="I100" s="134">
        <v>6347</v>
      </c>
      <c r="J100" s="188">
        <f>I100-H100</f>
        <v>2160</v>
      </c>
      <c r="K100" s="190">
        <v>0.12</v>
      </c>
      <c r="L100">
        <f>J100*K100</f>
        <v>259.2</v>
      </c>
    </row>
    <row r="101" spans="1:15" ht="15.5" thickTop="1" thickBot="1" x14ac:dyDescent="0.4">
      <c r="A101" s="16" t="s">
        <v>14</v>
      </c>
      <c r="B101" s="69" t="s">
        <v>15</v>
      </c>
      <c r="C101" s="70"/>
      <c r="D101" s="79"/>
      <c r="E101" s="17" t="s">
        <v>16</v>
      </c>
    </row>
    <row r="102" spans="1:15" ht="17.5" thickTop="1" x14ac:dyDescent="0.4">
      <c r="A102" s="71">
        <v>1</v>
      </c>
      <c r="B102" s="19" t="s">
        <v>157</v>
      </c>
      <c r="C102" s="20"/>
      <c r="D102" s="196"/>
      <c r="E102" s="38">
        <v>2000000</v>
      </c>
    </row>
    <row r="103" spans="1:15" ht="17" x14ac:dyDescent="0.4">
      <c r="A103" s="72"/>
      <c r="B103" s="53" t="s">
        <v>158</v>
      </c>
      <c r="C103" s="34"/>
      <c r="D103" s="197"/>
      <c r="E103" s="198"/>
      <c r="K103" s="192"/>
      <c r="L103" s="192"/>
      <c r="M103" s="192"/>
      <c r="N103" s="192"/>
      <c r="O103" s="192"/>
    </row>
    <row r="104" spans="1:15" ht="17" x14ac:dyDescent="0.4">
      <c r="A104" s="72"/>
      <c r="B104" s="53" t="s">
        <v>82</v>
      </c>
      <c r="C104" s="34"/>
      <c r="D104" s="197"/>
      <c r="E104" s="198"/>
      <c r="G104" t="s">
        <v>185</v>
      </c>
      <c r="H104">
        <f>J100</f>
        <v>2160</v>
      </c>
      <c r="I104" s="134" t="s">
        <v>183</v>
      </c>
      <c r="J104" s="190">
        <v>0.88</v>
      </c>
      <c r="K104" s="194" t="s">
        <v>184</v>
      </c>
      <c r="L104" s="192">
        <f>J104*H104</f>
        <v>1900.8</v>
      </c>
      <c r="M104" s="194" t="s">
        <v>187</v>
      </c>
      <c r="N104" s="193">
        <f>J99</f>
        <v>4348</v>
      </c>
      <c r="O104" s="188">
        <f>L104+N104</f>
        <v>6248.8</v>
      </c>
    </row>
    <row r="105" spans="1:15" ht="17" x14ac:dyDescent="0.4">
      <c r="A105" s="72"/>
      <c r="B105" s="22" t="s">
        <v>92</v>
      </c>
      <c r="C105" s="23">
        <f>'[1]NOV 2025'!$J$15</f>
        <v>4117</v>
      </c>
      <c r="D105" s="199"/>
      <c r="E105" s="198"/>
      <c r="G105" t="s">
        <v>188</v>
      </c>
      <c r="H105">
        <f>H104</f>
        <v>2160</v>
      </c>
      <c r="I105" s="134" t="s">
        <v>183</v>
      </c>
      <c r="J105" s="190">
        <v>0.12</v>
      </c>
      <c r="K105" s="194" t="s">
        <v>184</v>
      </c>
      <c r="L105" s="188">
        <f>J105*H105</f>
        <v>259.2</v>
      </c>
      <c r="M105" s="192"/>
      <c r="N105" s="192"/>
      <c r="O105" s="192"/>
    </row>
    <row r="106" spans="1:15" ht="17" x14ac:dyDescent="0.4">
      <c r="A106" s="72"/>
      <c r="B106" s="22" t="s">
        <v>19</v>
      </c>
      <c r="C106" s="26">
        <f>'[1]NOV 2025'!$K$15</f>
        <v>7487</v>
      </c>
      <c r="D106" s="200" t="s">
        <v>20</v>
      </c>
      <c r="E106" s="198"/>
      <c r="K106" s="192"/>
      <c r="L106" s="192"/>
      <c r="M106" s="192"/>
      <c r="N106" s="192"/>
      <c r="O106" s="192"/>
    </row>
    <row r="107" spans="1:15" ht="17" x14ac:dyDescent="0.4">
      <c r="A107" s="72"/>
      <c r="B107" s="22" t="s">
        <v>21</v>
      </c>
      <c r="C107" s="67">
        <f>+C106-C105</f>
        <v>3370</v>
      </c>
      <c r="D107" s="200"/>
      <c r="E107" s="198"/>
    </row>
    <row r="108" spans="1:15" ht="17" x14ac:dyDescent="0.4">
      <c r="A108" s="72"/>
      <c r="B108" s="22" t="s">
        <v>22</v>
      </c>
      <c r="C108" s="91">
        <v>11539</v>
      </c>
      <c r="D108" s="200" t="s">
        <v>20</v>
      </c>
      <c r="E108" s="198"/>
    </row>
    <row r="109" spans="1:15" ht="17.5" thickBot="1" x14ac:dyDescent="0.45">
      <c r="A109" s="72"/>
      <c r="B109" s="22" t="s">
        <v>21</v>
      </c>
      <c r="C109" s="67">
        <f>C107-C108</f>
        <v>-8169</v>
      </c>
      <c r="D109" s="200"/>
      <c r="E109" s="198"/>
    </row>
    <row r="110" spans="1:15" ht="17.5" thickTop="1" x14ac:dyDescent="0.4">
      <c r="A110" s="18"/>
      <c r="B110" s="19" t="s">
        <v>96</v>
      </c>
      <c r="C110" s="20"/>
      <c r="D110" s="196"/>
      <c r="E110" s="38"/>
    </row>
    <row r="111" spans="1:15" ht="17" x14ac:dyDescent="0.4">
      <c r="A111" s="28"/>
      <c r="B111" s="22" t="s">
        <v>93</v>
      </c>
      <c r="C111" s="23">
        <v>462</v>
      </c>
      <c r="D111" s="199"/>
      <c r="E111" s="198"/>
    </row>
    <row r="112" spans="1:15" ht="17.25" customHeight="1" x14ac:dyDescent="0.4">
      <c r="A112" s="28"/>
      <c r="B112" s="22" t="s">
        <v>19</v>
      </c>
      <c r="C112" s="26">
        <v>259</v>
      </c>
      <c r="D112" s="200" t="s">
        <v>20</v>
      </c>
      <c r="E112" s="198"/>
    </row>
    <row r="113" spans="1:5" ht="17" x14ac:dyDescent="0.4">
      <c r="A113" s="28"/>
      <c r="B113" s="22" t="s">
        <v>21</v>
      </c>
      <c r="C113" s="67">
        <f>+C112-C111</f>
        <v>-203</v>
      </c>
      <c r="D113" s="200"/>
      <c r="E113" s="198"/>
    </row>
    <row r="114" spans="1:5" ht="16.5" customHeight="1" x14ac:dyDescent="0.4">
      <c r="A114" s="28"/>
      <c r="B114" s="22" t="s">
        <v>22</v>
      </c>
      <c r="C114" s="26">
        <v>462</v>
      </c>
      <c r="D114" s="200" t="s">
        <v>20</v>
      </c>
      <c r="E114" s="198"/>
    </row>
    <row r="115" spans="1:5" ht="17.25" customHeight="1" thickBot="1" x14ac:dyDescent="0.45">
      <c r="A115" s="28"/>
      <c r="B115" s="22" t="s">
        <v>21</v>
      </c>
      <c r="C115" s="67">
        <f>+C113-C114</f>
        <v>-665</v>
      </c>
      <c r="D115" s="200"/>
      <c r="E115" s="198"/>
    </row>
    <row r="116" spans="1:5" ht="18.75" customHeight="1" thickTop="1" thickBot="1" x14ac:dyDescent="0.45">
      <c r="A116" s="29">
        <v>2</v>
      </c>
      <c r="B116" s="30" t="s">
        <v>98</v>
      </c>
      <c r="C116" s="31" t="s">
        <v>24</v>
      </c>
      <c r="D116" s="201">
        <v>100</v>
      </c>
      <c r="E116" s="179">
        <v>0</v>
      </c>
    </row>
    <row r="117" spans="1:5" ht="17.25" customHeight="1" thickTop="1" thickBot="1" x14ac:dyDescent="0.45">
      <c r="A117" s="29">
        <v>3</v>
      </c>
      <c r="B117" s="30" t="s">
        <v>99</v>
      </c>
      <c r="C117" s="31" t="s">
        <v>24</v>
      </c>
      <c r="D117" s="201">
        <v>1000</v>
      </c>
      <c r="E117" s="179">
        <v>0</v>
      </c>
    </row>
    <row r="118" spans="1:5" ht="21.75" customHeight="1" thickTop="1" thickBot="1" x14ac:dyDescent="0.45">
      <c r="A118" s="34"/>
      <c r="B118" s="34"/>
      <c r="C118" s="34"/>
      <c r="D118" s="180" t="s">
        <v>25</v>
      </c>
      <c r="E118" s="179">
        <f>E102+E117+E116</f>
        <v>2000000</v>
      </c>
    </row>
    <row r="119" spans="1:5" ht="16.5" thickTop="1" thickBot="1" x14ac:dyDescent="0.4">
      <c r="A119" s="34"/>
      <c r="B119" s="34"/>
      <c r="C119" s="34"/>
      <c r="D119" s="181" t="s">
        <v>172</v>
      </c>
      <c r="E119" s="182"/>
    </row>
    <row r="120" spans="1:5" ht="16.5" thickTop="1" thickBot="1" x14ac:dyDescent="0.4">
      <c r="A120" s="177" t="s">
        <v>26</v>
      </c>
      <c r="B120" s="178"/>
      <c r="C120" s="34"/>
      <c r="D120" s="181" t="s">
        <v>171</v>
      </c>
      <c r="E120" s="182"/>
    </row>
    <row r="121" spans="1:5" ht="18" customHeight="1" thickTop="1" thickBot="1" x14ac:dyDescent="0.45">
      <c r="A121" s="183" t="s">
        <v>45</v>
      </c>
      <c r="B121" s="184"/>
      <c r="C121" s="41"/>
      <c r="D121" s="180" t="s">
        <v>29</v>
      </c>
      <c r="E121" s="85">
        <f>+E118+E120</f>
        <v>2000000</v>
      </c>
    </row>
    <row r="122" spans="1:5" ht="13.5" customHeight="1" thickTop="1" x14ac:dyDescent="0.4">
      <c r="A122" s="205" t="s">
        <v>46</v>
      </c>
      <c r="B122" s="206"/>
      <c r="C122" s="41"/>
      <c r="D122" s="35"/>
      <c r="E122" s="87"/>
    </row>
    <row r="123" spans="1:5" ht="13.5" customHeight="1" x14ac:dyDescent="0.4">
      <c r="A123" s="205" t="s">
        <v>80</v>
      </c>
      <c r="B123" s="206"/>
      <c r="C123" s="41"/>
      <c r="D123" s="35"/>
      <c r="E123" s="87"/>
    </row>
    <row r="124" spans="1:5" ht="13.5" customHeight="1" x14ac:dyDescent="0.4">
      <c r="A124" s="205" t="s">
        <v>81</v>
      </c>
      <c r="B124" s="206"/>
      <c r="C124" s="41"/>
      <c r="D124" s="35"/>
      <c r="E124" s="87"/>
    </row>
    <row r="125" spans="1:5" ht="17.25" customHeight="1" x14ac:dyDescent="0.35">
      <c r="A125" s="173" t="s">
        <v>28</v>
      </c>
      <c r="B125" s="174"/>
      <c r="C125" s="3"/>
      <c r="D125" s="3"/>
      <c r="E125" s="15"/>
    </row>
    <row r="126" spans="1:5" ht="13.5" customHeight="1" thickBot="1" x14ac:dyDescent="0.4">
      <c r="A126" s="175" t="s">
        <v>30</v>
      </c>
      <c r="B126" s="176"/>
      <c r="C126" s="3"/>
      <c r="D126" s="3"/>
      <c r="E126" s="15"/>
    </row>
    <row r="127" spans="1:5" ht="13.5" customHeight="1" thickTop="1" x14ac:dyDescent="0.35">
      <c r="A127" s="106"/>
      <c r="B127" s="106"/>
      <c r="C127" s="106"/>
      <c r="D127" s="106"/>
      <c r="E127" s="106"/>
    </row>
    <row r="128" spans="1:5" ht="13.5" customHeight="1" x14ac:dyDescent="0.35">
      <c r="A128" s="106"/>
      <c r="B128" s="106"/>
      <c r="C128" s="106"/>
      <c r="D128" s="106"/>
      <c r="E128" s="106"/>
    </row>
    <row r="129" spans="1:5" ht="13.5" customHeight="1" x14ac:dyDescent="0.35">
      <c r="A129" s="211" t="s">
        <v>33</v>
      </c>
      <c r="B129" s="211"/>
      <c r="C129" s="211" t="s">
        <v>1</v>
      </c>
      <c r="D129" s="211"/>
      <c r="E129" s="211"/>
    </row>
    <row r="130" spans="1:5" ht="13.5" customHeight="1" x14ac:dyDescent="0.35"/>
    <row r="131" spans="1:5" ht="16.5" customHeight="1" x14ac:dyDescent="0.35"/>
    <row r="133" spans="1:5" x14ac:dyDescent="0.35">
      <c r="A133" s="212" t="s">
        <v>34</v>
      </c>
      <c r="B133" s="212"/>
      <c r="C133" s="277" t="s">
        <v>149</v>
      </c>
      <c r="D133" s="277"/>
      <c r="E133" s="277"/>
    </row>
    <row r="134" spans="1:5" x14ac:dyDescent="0.35">
      <c r="D134" s="51" t="s">
        <v>102</v>
      </c>
      <c r="E134" s="51"/>
    </row>
    <row r="135" spans="1:5" ht="15" thickBot="1" x14ac:dyDescent="0.4">
      <c r="D135" s="51"/>
      <c r="E135" s="51"/>
    </row>
    <row r="136" spans="1:5" ht="15.5" thickTop="1" thickBot="1" x14ac:dyDescent="0.4">
      <c r="A136" s="266" t="s">
        <v>1</v>
      </c>
      <c r="B136" s="267"/>
      <c r="C136" s="3"/>
      <c r="D136" s="96" t="s">
        <v>0</v>
      </c>
      <c r="E136" s="97" t="s">
        <v>156</v>
      </c>
    </row>
    <row r="137" spans="1:5" ht="15.5" thickTop="1" thickBot="1" x14ac:dyDescent="0.4">
      <c r="A137" s="254"/>
      <c r="B137" s="255"/>
      <c r="C137" s="3"/>
      <c r="D137" s="98" t="s">
        <v>2</v>
      </c>
      <c r="E137" s="97">
        <v>45936</v>
      </c>
    </row>
    <row r="138" spans="1:5" ht="21.75" customHeight="1" thickTop="1" thickBot="1" x14ac:dyDescent="0.4">
      <c r="A138" s="256" t="s">
        <v>104</v>
      </c>
      <c r="B138" s="257"/>
      <c r="C138" s="3"/>
      <c r="D138" s="99" t="s">
        <v>4</v>
      </c>
      <c r="E138" s="100"/>
    </row>
    <row r="139" spans="1:5" ht="22.5" customHeight="1" thickTop="1" thickBot="1" x14ac:dyDescent="0.4">
      <c r="A139" s="256" t="s">
        <v>77</v>
      </c>
      <c r="B139" s="257"/>
      <c r="C139" s="3"/>
      <c r="D139" s="101" t="s">
        <v>90</v>
      </c>
      <c r="E139" s="100"/>
    </row>
    <row r="140" spans="1:5" ht="24.75" customHeight="1" thickTop="1" x14ac:dyDescent="0.35">
      <c r="A140" s="256" t="s">
        <v>78</v>
      </c>
      <c r="B140" s="257"/>
      <c r="C140" s="3"/>
      <c r="D140" s="305" t="s">
        <v>86</v>
      </c>
      <c r="E140" s="306"/>
    </row>
    <row r="141" spans="1:5" ht="33" customHeight="1" thickBot="1" x14ac:dyDescent="0.4">
      <c r="A141" s="243" t="s">
        <v>11</v>
      </c>
      <c r="B141" s="244"/>
      <c r="D141" s="307"/>
      <c r="E141" s="308"/>
    </row>
    <row r="142" spans="1:5" ht="15.5" thickTop="1" thickBot="1" x14ac:dyDescent="0.4">
      <c r="A142" s="219" t="s">
        <v>79</v>
      </c>
      <c r="B142" s="220"/>
      <c r="C142" s="3"/>
      <c r="D142" s="99" t="s">
        <v>88</v>
      </c>
      <c r="E142" s="100" t="s">
        <v>89</v>
      </c>
    </row>
    <row r="143" spans="1:5" ht="15" thickTop="1" x14ac:dyDescent="0.35">
      <c r="A143" s="13"/>
      <c r="B143" s="13"/>
      <c r="C143" s="3"/>
      <c r="D143" s="14"/>
      <c r="E143" s="14"/>
    </row>
    <row r="144" spans="1:5" ht="29.5" x14ac:dyDescent="0.55000000000000004">
      <c r="A144" s="223" t="s">
        <v>87</v>
      </c>
      <c r="B144" s="223"/>
      <c r="C144" s="223"/>
      <c r="D144" s="223"/>
      <c r="E144" s="223"/>
    </row>
    <row r="145" spans="1:16" ht="15" thickBot="1" x14ac:dyDescent="0.4">
      <c r="A145" s="224" t="s">
        <v>155</v>
      </c>
      <c r="B145" s="224"/>
      <c r="C145" s="3"/>
      <c r="D145" s="3"/>
      <c r="E145" s="15"/>
    </row>
    <row r="146" spans="1:16" ht="15.5" thickTop="1" thickBot="1" x14ac:dyDescent="0.4">
      <c r="A146" s="16" t="s">
        <v>14</v>
      </c>
      <c r="B146" s="69" t="s">
        <v>15</v>
      </c>
      <c r="C146" s="70"/>
      <c r="D146" s="79"/>
      <c r="E146" s="17" t="s">
        <v>16</v>
      </c>
    </row>
    <row r="147" spans="1:16" ht="15" thickTop="1" x14ac:dyDescent="0.35">
      <c r="A147" s="71">
        <v>1</v>
      </c>
      <c r="B147" s="19" t="s">
        <v>157</v>
      </c>
      <c r="C147" s="20"/>
      <c r="D147" s="20"/>
      <c r="E147" s="21">
        <v>2000000</v>
      </c>
    </row>
    <row r="148" spans="1:16" x14ac:dyDescent="0.35">
      <c r="A148" s="72"/>
      <c r="B148" s="53" t="s">
        <v>158</v>
      </c>
      <c r="C148" s="34"/>
      <c r="D148" s="34"/>
      <c r="E148" s="25"/>
    </row>
    <row r="149" spans="1:16" x14ac:dyDescent="0.35">
      <c r="A149" s="72"/>
      <c r="B149" s="53" t="s">
        <v>82</v>
      </c>
      <c r="C149" s="34"/>
      <c r="D149" s="34"/>
      <c r="E149" s="25"/>
    </row>
    <row r="150" spans="1:16" x14ac:dyDescent="0.35">
      <c r="A150" s="72"/>
      <c r="B150" s="22" t="s">
        <v>92</v>
      </c>
      <c r="C150" s="23" t="str">
        <f>'Meterading 2025'!B91</f>
        <v>0</v>
      </c>
      <c r="D150" s="24"/>
      <c r="E150" s="25"/>
    </row>
    <row r="151" spans="1:16" ht="15" x14ac:dyDescent="0.4">
      <c r="A151" s="72"/>
      <c r="B151" s="22" t="s">
        <v>19</v>
      </c>
      <c r="C151" s="26">
        <v>6082</v>
      </c>
      <c r="D151" s="27" t="s">
        <v>20</v>
      </c>
      <c r="E151" s="25"/>
    </row>
    <row r="152" spans="1:16" x14ac:dyDescent="0.35">
      <c r="A152" s="72"/>
      <c r="B152" s="22" t="s">
        <v>21</v>
      </c>
      <c r="C152" s="67">
        <f>+C151-C150</f>
        <v>6082</v>
      </c>
      <c r="D152" s="27"/>
      <c r="E152" s="25"/>
      <c r="G152" t="s">
        <v>174</v>
      </c>
    </row>
    <row r="153" spans="1:16" ht="15" x14ac:dyDescent="0.4">
      <c r="A153" s="72"/>
      <c r="B153" s="22" t="s">
        <v>22</v>
      </c>
      <c r="C153" s="91">
        <v>11539</v>
      </c>
      <c r="D153" s="27" t="s">
        <v>20</v>
      </c>
      <c r="E153" s="25"/>
    </row>
    <row r="154" spans="1:16" ht="15" thickBot="1" x14ac:dyDescent="0.4">
      <c r="A154" s="72"/>
      <c r="B154" s="22" t="s">
        <v>21</v>
      </c>
      <c r="C154" s="67">
        <f>C152-C153</f>
        <v>-5457</v>
      </c>
      <c r="D154" s="27"/>
      <c r="E154" s="25"/>
    </row>
    <row r="155" spans="1:16" ht="29.5" thickTop="1" x14ac:dyDescent="0.35">
      <c r="A155" s="18"/>
      <c r="B155" s="19" t="s">
        <v>96</v>
      </c>
      <c r="C155" s="20"/>
      <c r="D155" s="20"/>
      <c r="E155" s="21"/>
      <c r="G155" s="185" t="s">
        <v>175</v>
      </c>
      <c r="H155" s="185" t="s">
        <v>176</v>
      </c>
      <c r="I155" s="191" t="s">
        <v>177</v>
      </c>
      <c r="J155" s="185"/>
      <c r="K155" s="185"/>
      <c r="L155" s="185"/>
      <c r="M155" s="185"/>
    </row>
    <row r="156" spans="1:16" x14ac:dyDescent="0.35">
      <c r="A156" s="28"/>
      <c r="B156" s="22" t="s">
        <v>93</v>
      </c>
      <c r="C156" s="23" t="str">
        <f>'Meterading 2025'!F91</f>
        <v>0</v>
      </c>
      <c r="D156" s="24"/>
      <c r="E156" s="25"/>
      <c r="G156">
        <v>0</v>
      </c>
      <c r="H156">
        <v>4117</v>
      </c>
      <c r="I156" s="134">
        <f>H156-G156</f>
        <v>4117</v>
      </c>
      <c r="J156" s="186" t="s">
        <v>178</v>
      </c>
      <c r="K156" s="186"/>
      <c r="L156" s="186"/>
      <c r="M156" s="186"/>
      <c r="N156" s="186">
        <v>1965</v>
      </c>
      <c r="O156" s="189">
        <f>N156+I156</f>
        <v>6082</v>
      </c>
      <c r="P156" s="187" t="s">
        <v>179</v>
      </c>
    </row>
    <row r="157" spans="1:16" ht="17.25" customHeight="1" x14ac:dyDescent="0.4">
      <c r="A157" s="28"/>
      <c r="B157" s="22" t="s">
        <v>19</v>
      </c>
      <c r="C157" s="26">
        <v>268</v>
      </c>
      <c r="D157" s="27" t="s">
        <v>20</v>
      </c>
      <c r="E157" s="25"/>
      <c r="G157">
        <v>0</v>
      </c>
      <c r="H157">
        <v>2233</v>
      </c>
      <c r="I157" s="134">
        <f>H157-G157</f>
        <v>2233</v>
      </c>
      <c r="J157" s="188" t="s">
        <v>180</v>
      </c>
      <c r="K157" s="188"/>
      <c r="L157" s="188"/>
      <c r="M157" s="188"/>
      <c r="N157" s="188">
        <v>268</v>
      </c>
    </row>
    <row r="158" spans="1:16" x14ac:dyDescent="0.35">
      <c r="A158" s="28"/>
      <c r="B158" s="22" t="s">
        <v>21</v>
      </c>
      <c r="C158" s="67">
        <f>+C157-C156</f>
        <v>268</v>
      </c>
      <c r="D158" s="27"/>
      <c r="E158" s="25"/>
    </row>
    <row r="159" spans="1:16" ht="16.5" customHeight="1" x14ac:dyDescent="0.4">
      <c r="A159" s="28"/>
      <c r="B159" s="22" t="s">
        <v>22</v>
      </c>
      <c r="C159" s="26">
        <v>462</v>
      </c>
      <c r="D159" s="27" t="s">
        <v>20</v>
      </c>
      <c r="E159" s="25"/>
    </row>
    <row r="160" spans="1:16" ht="17.25" customHeight="1" thickBot="1" x14ac:dyDescent="0.4">
      <c r="A160" s="28"/>
      <c r="B160" s="22" t="s">
        <v>21</v>
      </c>
      <c r="C160" s="67">
        <f>+C158-C159</f>
        <v>-194</v>
      </c>
      <c r="D160" s="27"/>
      <c r="E160" s="25"/>
    </row>
    <row r="161" spans="1:13" ht="18.75" customHeight="1" thickTop="1" thickBot="1" x14ac:dyDescent="0.45">
      <c r="A161" s="29">
        <v>2</v>
      </c>
      <c r="B161" s="30" t="s">
        <v>98</v>
      </c>
      <c r="C161" s="31" t="s">
        <v>24</v>
      </c>
      <c r="D161" s="32">
        <v>100</v>
      </c>
      <c r="E161" s="179">
        <v>0</v>
      </c>
      <c r="J161">
        <v>2233</v>
      </c>
      <c r="K161" t="s">
        <v>183</v>
      </c>
      <c r="L161" s="190">
        <v>0.88</v>
      </c>
      <c r="M161">
        <f>J161*L161</f>
        <v>1965.04</v>
      </c>
    </row>
    <row r="162" spans="1:13" ht="17.25" customHeight="1" thickTop="1" thickBot="1" x14ac:dyDescent="0.45">
      <c r="A162" s="29">
        <v>3</v>
      </c>
      <c r="B162" s="30" t="s">
        <v>99</v>
      </c>
      <c r="C162" s="31" t="s">
        <v>24</v>
      </c>
      <c r="D162" s="32">
        <v>1000</v>
      </c>
      <c r="E162" s="179">
        <v>0</v>
      </c>
      <c r="J162">
        <v>2233</v>
      </c>
      <c r="K162" t="s">
        <v>183</v>
      </c>
      <c r="L162" s="190">
        <v>0.12</v>
      </c>
      <c r="M162">
        <f>J162*L162</f>
        <v>267.95999999999998</v>
      </c>
    </row>
    <row r="163" spans="1:13" ht="21.75" customHeight="1" thickTop="1" thickBot="1" x14ac:dyDescent="0.45">
      <c r="A163" s="34"/>
      <c r="B163" s="34"/>
      <c r="C163" s="34"/>
      <c r="D163" s="180" t="s">
        <v>25</v>
      </c>
      <c r="E163" s="179">
        <f>E147+E162+E161</f>
        <v>2000000</v>
      </c>
    </row>
    <row r="164" spans="1:13" ht="16.5" thickTop="1" thickBot="1" x14ac:dyDescent="0.4">
      <c r="A164" s="34"/>
      <c r="B164" s="34"/>
      <c r="C164" s="34"/>
      <c r="D164" s="181" t="s">
        <v>172</v>
      </c>
      <c r="E164" s="182"/>
    </row>
    <row r="165" spans="1:13" ht="16.5" thickTop="1" thickBot="1" x14ac:dyDescent="0.4">
      <c r="A165" s="177" t="s">
        <v>26</v>
      </c>
      <c r="B165" s="178"/>
      <c r="C165" s="34"/>
      <c r="D165" s="181" t="s">
        <v>171</v>
      </c>
      <c r="E165" s="182"/>
    </row>
    <row r="166" spans="1:13" ht="18" customHeight="1" thickTop="1" thickBot="1" x14ac:dyDescent="0.45">
      <c r="A166" s="183" t="s">
        <v>45</v>
      </c>
      <c r="B166" s="184"/>
      <c r="C166" s="41"/>
      <c r="D166" s="180" t="s">
        <v>29</v>
      </c>
      <c r="E166" s="85">
        <f>+E163+E165</f>
        <v>2000000</v>
      </c>
    </row>
    <row r="167" spans="1:13" ht="13.5" customHeight="1" thickTop="1" x14ac:dyDescent="0.4">
      <c r="A167" s="205" t="s">
        <v>46</v>
      </c>
      <c r="B167" s="206"/>
      <c r="C167" s="41"/>
      <c r="D167" s="35"/>
      <c r="E167" s="87"/>
    </row>
    <row r="168" spans="1:13" ht="13.5" customHeight="1" x14ac:dyDescent="0.4">
      <c r="A168" s="205" t="s">
        <v>80</v>
      </c>
      <c r="B168" s="206"/>
      <c r="C168" s="41"/>
      <c r="D168" s="35"/>
      <c r="E168" s="87"/>
    </row>
    <row r="169" spans="1:13" ht="13.5" customHeight="1" x14ac:dyDescent="0.4">
      <c r="A169" s="205" t="s">
        <v>81</v>
      </c>
      <c r="B169" s="206"/>
      <c r="C169" s="41"/>
      <c r="D169" s="35"/>
      <c r="E169" s="87"/>
    </row>
    <row r="170" spans="1:13" ht="17.25" customHeight="1" x14ac:dyDescent="0.35">
      <c r="A170" s="173" t="s">
        <v>28</v>
      </c>
      <c r="B170" s="174"/>
      <c r="C170" s="3"/>
      <c r="D170" s="3"/>
      <c r="E170" s="15"/>
    </row>
    <row r="171" spans="1:13" ht="13.5" customHeight="1" thickBot="1" x14ac:dyDescent="0.4">
      <c r="A171" s="175" t="s">
        <v>30</v>
      </c>
      <c r="B171" s="176"/>
      <c r="C171" s="3"/>
      <c r="D171" s="3"/>
      <c r="E171" s="15"/>
    </row>
    <row r="172" spans="1:13" ht="13.5" customHeight="1" thickTop="1" x14ac:dyDescent="0.35">
      <c r="A172" s="106"/>
      <c r="B172" s="106"/>
      <c r="C172" s="106"/>
      <c r="D172" s="106"/>
      <c r="E172" s="106"/>
    </row>
    <row r="173" spans="1:13" ht="13.5" customHeight="1" x14ac:dyDescent="0.35">
      <c r="A173" s="106"/>
      <c r="B173" s="106"/>
      <c r="C173" s="106"/>
      <c r="D173" s="106"/>
      <c r="E173" s="106"/>
    </row>
    <row r="174" spans="1:13" ht="13.5" customHeight="1" x14ac:dyDescent="0.35">
      <c r="A174" s="211" t="s">
        <v>33</v>
      </c>
      <c r="B174" s="211"/>
      <c r="C174" s="211" t="s">
        <v>1</v>
      </c>
      <c r="D174" s="211"/>
      <c r="E174" s="211"/>
    </row>
    <row r="175" spans="1:13" ht="13.5" customHeight="1" x14ac:dyDescent="0.35"/>
    <row r="176" spans="1:13" ht="16.5" customHeight="1" x14ac:dyDescent="0.35"/>
    <row r="178" spans="1:5" x14ac:dyDescent="0.35">
      <c r="A178" s="212" t="s">
        <v>34</v>
      </c>
      <c r="B178" s="212"/>
      <c r="C178" s="277" t="s">
        <v>149</v>
      </c>
      <c r="D178" s="277"/>
      <c r="E178" s="277"/>
    </row>
    <row r="179" spans="1:5" x14ac:dyDescent="0.35">
      <c r="D179" s="51" t="s">
        <v>102</v>
      </c>
      <c r="E179" s="51"/>
    </row>
    <row r="180" spans="1:5" x14ac:dyDescent="0.35">
      <c r="D180" s="51"/>
      <c r="E180" s="51"/>
    </row>
  </sheetData>
  <mergeCells count="64">
    <mergeCell ref="A34:B34"/>
    <mergeCell ref="A39:B39"/>
    <mergeCell ref="C39:E39"/>
    <mergeCell ref="A43:B43"/>
    <mergeCell ref="C43:E43"/>
    <mergeCell ref="A7:B7"/>
    <mergeCell ref="A9:E9"/>
    <mergeCell ref="A10:B10"/>
    <mergeCell ref="A32:B32"/>
    <mergeCell ref="A33:B33"/>
    <mergeCell ref="A1:B2"/>
    <mergeCell ref="A3:B3"/>
    <mergeCell ref="A4:B4"/>
    <mergeCell ref="A5:B5"/>
    <mergeCell ref="D5:E6"/>
    <mergeCell ref="A6:B6"/>
    <mergeCell ref="A79:B79"/>
    <mergeCell ref="A84:B84"/>
    <mergeCell ref="C84:E84"/>
    <mergeCell ref="A88:B88"/>
    <mergeCell ref="C88:E88"/>
    <mergeCell ref="A52:B52"/>
    <mergeCell ref="A54:E54"/>
    <mergeCell ref="A55:B55"/>
    <mergeCell ref="A77:B77"/>
    <mergeCell ref="A78:B78"/>
    <mergeCell ref="A46:B47"/>
    <mergeCell ref="A48:B48"/>
    <mergeCell ref="A49:B49"/>
    <mergeCell ref="A50:B50"/>
    <mergeCell ref="D50:E51"/>
    <mergeCell ref="A51:B51"/>
    <mergeCell ref="A133:B133"/>
    <mergeCell ref="C133:E133"/>
    <mergeCell ref="D140:E141"/>
    <mergeCell ref="A141:B141"/>
    <mergeCell ref="A167:B167"/>
    <mergeCell ref="A136:B137"/>
    <mergeCell ref="A138:B138"/>
    <mergeCell ref="A139:B139"/>
    <mergeCell ref="A140:B140"/>
    <mergeCell ref="A142:B142"/>
    <mergeCell ref="A144:E144"/>
    <mergeCell ref="A145:B145"/>
    <mergeCell ref="A168:B168"/>
    <mergeCell ref="A169:B169"/>
    <mergeCell ref="A174:B174"/>
    <mergeCell ref="C174:E174"/>
    <mergeCell ref="A178:B178"/>
    <mergeCell ref="C178:E178"/>
    <mergeCell ref="A91:B92"/>
    <mergeCell ref="A93:B93"/>
    <mergeCell ref="A94:B94"/>
    <mergeCell ref="A95:B95"/>
    <mergeCell ref="D95:E96"/>
    <mergeCell ref="A96:B96"/>
    <mergeCell ref="A124:B124"/>
    <mergeCell ref="A129:B129"/>
    <mergeCell ref="C129:E129"/>
    <mergeCell ref="A97:B97"/>
    <mergeCell ref="A99:E99"/>
    <mergeCell ref="A100:B100"/>
    <mergeCell ref="A122:B122"/>
    <mergeCell ref="A123:B123"/>
  </mergeCells>
  <hyperlinks>
    <hyperlink ref="A141" r:id="rId1" display="www.biasbst.com" xr:uid="{54655237-0CDC-4F7A-AC1C-33D54CC5DA5A}"/>
    <hyperlink ref="A142" r:id="rId2" xr:uid="{D7D40863-0A4F-41B1-BC6C-989D6D009638}"/>
    <hyperlink ref="A96" r:id="rId3" display="www.biasbst.com" xr:uid="{DF34FBE5-7F91-4D5A-92C1-42770DF8061A}"/>
    <hyperlink ref="A97" r:id="rId4" xr:uid="{6C8F1CA1-FF11-41C5-AC94-B407270BEFB3}"/>
    <hyperlink ref="A51" r:id="rId5" display="www.biasbst.com" xr:uid="{A1DA4B6C-7F4D-4FB5-9927-F7DC589B9F38}"/>
    <hyperlink ref="A52" r:id="rId6" xr:uid="{FA4DEFBC-2907-4BB3-9CD5-FEB6AE2EB1E0}"/>
    <hyperlink ref="A6" r:id="rId7" display="www.biasbst.com" xr:uid="{E4F573CE-4EF7-4D51-9105-3E09A8B4C4FC}"/>
    <hyperlink ref="A7" r:id="rId8" xr:uid="{5F6DD746-AF26-45B0-B5AC-55436EEDD5BE}"/>
  </hyperlinks>
  <printOptions horizontalCentered="1"/>
  <pageMargins left="0.70866141732283461" right="0.70866141732283461" top="0.74803149606299213" bottom="0.74803149606299213" header="0.70866141732283461" footer="0.31496062992125984"/>
  <pageSetup scale="88" orientation="portrait" horizontalDpi="4294967293" verticalDpi="180" r:id="rId9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T95"/>
  <sheetViews>
    <sheetView topLeftCell="A71" zoomScaleNormal="100" workbookViewId="0">
      <selection activeCell="O87" sqref="O87"/>
    </sheetView>
  </sheetViews>
  <sheetFormatPr defaultColWidth="9.1796875" defaultRowHeight="14" x14ac:dyDescent="0.3"/>
  <cols>
    <col min="1" max="1" width="16.7265625" style="61" customWidth="1"/>
    <col min="2" max="4" width="7.90625" style="61" customWidth="1"/>
    <col min="5" max="5" width="9.08984375" style="61" bestFit="1" customWidth="1"/>
    <col min="6" max="8" width="7.90625" style="61" customWidth="1"/>
    <col min="9" max="9" width="11" style="61" customWidth="1"/>
    <col min="10" max="11" width="8.81640625" style="61" customWidth="1"/>
    <col min="12" max="12" width="12" style="61" customWidth="1"/>
    <col min="13" max="16" width="7.36328125" style="61" customWidth="1"/>
    <col min="17" max="18" width="9.453125" style="61" customWidth="1"/>
    <col min="19" max="16384" width="9.1796875" style="61"/>
  </cols>
  <sheetData>
    <row r="1" spans="1:17" x14ac:dyDescent="0.3">
      <c r="A1" s="66" t="s">
        <v>103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</row>
    <row r="2" spans="1:17" x14ac:dyDescent="0.3">
      <c r="A2" s="66" t="s">
        <v>50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</row>
    <row r="3" spans="1:17" ht="14.5" thickBot="1" x14ac:dyDescent="0.35">
      <c r="I3" s="66"/>
      <c r="J3" s="66"/>
      <c r="K3" s="66"/>
      <c r="L3" s="66"/>
      <c r="M3" s="66"/>
      <c r="N3" s="66"/>
      <c r="O3" s="66"/>
      <c r="P3" s="66"/>
      <c r="Q3" s="66"/>
    </row>
    <row r="4" spans="1:17" ht="15" customHeight="1" thickTop="1" thickBot="1" x14ac:dyDescent="0.35">
      <c r="A4" s="318" t="s">
        <v>51</v>
      </c>
      <c r="B4" s="313" t="s">
        <v>66</v>
      </c>
      <c r="C4" s="314"/>
      <c r="D4" s="315" t="s">
        <v>64</v>
      </c>
      <c r="E4" s="315" t="s">
        <v>65</v>
      </c>
      <c r="F4" s="313" t="s">
        <v>67</v>
      </c>
      <c r="G4" s="314"/>
      <c r="H4" s="315" t="s">
        <v>64</v>
      </c>
      <c r="I4" s="66"/>
      <c r="J4" s="66"/>
      <c r="K4" s="66"/>
      <c r="L4" s="66"/>
      <c r="M4" s="66"/>
      <c r="N4" s="66"/>
      <c r="O4" s="66"/>
      <c r="P4" s="66"/>
      <c r="Q4" s="66"/>
    </row>
    <row r="5" spans="1:17" ht="15" thickTop="1" thickBot="1" x14ac:dyDescent="0.35">
      <c r="A5" s="319"/>
      <c r="B5" s="62" t="s">
        <v>68</v>
      </c>
      <c r="C5" s="62" t="s">
        <v>69</v>
      </c>
      <c r="D5" s="316"/>
      <c r="E5" s="316"/>
      <c r="F5" s="62" t="s">
        <v>68</v>
      </c>
      <c r="G5" s="62" t="s">
        <v>69</v>
      </c>
      <c r="H5" s="316"/>
      <c r="I5" s="66"/>
      <c r="J5" s="66"/>
      <c r="K5" s="66"/>
      <c r="L5" s="66"/>
      <c r="M5" s="66"/>
      <c r="N5" s="66"/>
      <c r="O5" s="66"/>
      <c r="P5" s="66"/>
      <c r="Q5" s="66"/>
    </row>
    <row r="6" spans="1:17" ht="18" customHeight="1" thickTop="1" thickBot="1" x14ac:dyDescent="0.35">
      <c r="A6" s="63" t="s">
        <v>52</v>
      </c>
      <c r="B6" s="108">
        <v>70439</v>
      </c>
      <c r="C6" s="108">
        <v>73632</v>
      </c>
      <c r="D6" s="109">
        <f>C6-B6</f>
        <v>3193</v>
      </c>
      <c r="E6" s="63"/>
      <c r="F6" s="63">
        <v>20408</v>
      </c>
      <c r="G6" s="63">
        <v>21884</v>
      </c>
      <c r="H6" s="65">
        <f>G6-F6</f>
        <v>1476</v>
      </c>
      <c r="I6" s="66"/>
      <c r="J6" s="66"/>
      <c r="K6" s="66"/>
      <c r="L6" s="66"/>
      <c r="M6" s="66"/>
      <c r="N6" s="66"/>
      <c r="O6" s="66"/>
      <c r="P6" s="66"/>
      <c r="Q6" s="66"/>
    </row>
    <row r="7" spans="1:17" ht="18" customHeight="1" thickTop="1" thickBot="1" x14ac:dyDescent="0.35">
      <c r="A7" s="63" t="s">
        <v>53</v>
      </c>
      <c r="B7" s="108">
        <f>+C6</f>
        <v>73632</v>
      </c>
      <c r="C7" s="108">
        <v>75461</v>
      </c>
      <c r="D7" s="109">
        <f t="shared" ref="D7:D17" si="0">C7-B7</f>
        <v>1829</v>
      </c>
      <c r="E7" s="63"/>
      <c r="F7" s="63">
        <f>+G6</f>
        <v>21884</v>
      </c>
      <c r="G7" s="63">
        <v>22564</v>
      </c>
      <c r="H7" s="65">
        <f t="shared" ref="H7:H17" si="1">G7-F7</f>
        <v>680</v>
      </c>
      <c r="I7" s="66"/>
      <c r="J7" s="66"/>
      <c r="K7" s="66"/>
      <c r="L7" s="66"/>
      <c r="M7" s="66"/>
      <c r="N7" s="66"/>
      <c r="O7" s="66"/>
      <c r="P7" s="66"/>
      <c r="Q7" s="66"/>
    </row>
    <row r="8" spans="1:17" ht="18" customHeight="1" thickTop="1" thickBot="1" x14ac:dyDescent="0.35">
      <c r="A8" s="63" t="s">
        <v>54</v>
      </c>
      <c r="B8" s="108">
        <f>+C7</f>
        <v>75461</v>
      </c>
      <c r="C8" s="108">
        <v>77475</v>
      </c>
      <c r="D8" s="109">
        <f t="shared" si="0"/>
        <v>2014</v>
      </c>
      <c r="E8" s="63"/>
      <c r="F8" s="63">
        <f>+G7</f>
        <v>22564</v>
      </c>
      <c r="G8" s="63">
        <v>23344</v>
      </c>
      <c r="H8" s="65">
        <f t="shared" si="1"/>
        <v>780</v>
      </c>
      <c r="I8" s="66"/>
      <c r="J8" s="66"/>
      <c r="K8" s="66"/>
      <c r="L8" s="66"/>
      <c r="M8" s="66"/>
      <c r="N8" s="66"/>
      <c r="O8" s="66"/>
      <c r="P8" s="66"/>
      <c r="Q8" s="66"/>
    </row>
    <row r="9" spans="1:17" ht="18" customHeight="1" thickTop="1" thickBot="1" x14ac:dyDescent="0.35">
      <c r="A9" s="63" t="s">
        <v>55</v>
      </c>
      <c r="B9" s="108">
        <f>+C8</f>
        <v>77475</v>
      </c>
      <c r="C9" s="108">
        <v>78332</v>
      </c>
      <c r="D9" s="109">
        <f t="shared" si="0"/>
        <v>857</v>
      </c>
      <c r="E9" s="63"/>
      <c r="F9" s="63">
        <f>+G8</f>
        <v>23344</v>
      </c>
      <c r="G9" s="63">
        <v>24132</v>
      </c>
      <c r="H9" s="65">
        <f t="shared" si="1"/>
        <v>788</v>
      </c>
      <c r="I9" s="66"/>
      <c r="J9" s="66"/>
      <c r="K9" s="66"/>
      <c r="L9" s="66"/>
      <c r="M9" s="66"/>
      <c r="N9" s="66"/>
      <c r="O9" s="66"/>
      <c r="P9" s="66"/>
      <c r="Q9" s="66"/>
    </row>
    <row r="10" spans="1:17" ht="18" customHeight="1" thickTop="1" thickBot="1" x14ac:dyDescent="0.35">
      <c r="A10" s="63" t="s">
        <v>56</v>
      </c>
      <c r="B10" s="108">
        <f t="shared" ref="B10:B15" si="2">C9</f>
        <v>78332</v>
      </c>
      <c r="C10" s="108">
        <v>81259</v>
      </c>
      <c r="D10" s="109">
        <f t="shared" si="0"/>
        <v>2927</v>
      </c>
      <c r="E10" s="63"/>
      <c r="F10" s="63">
        <f t="shared" ref="F10:F15" si="3">G9</f>
        <v>24132</v>
      </c>
      <c r="G10" s="63">
        <v>25796</v>
      </c>
      <c r="H10" s="65">
        <f t="shared" si="1"/>
        <v>1664</v>
      </c>
      <c r="I10" s="66"/>
      <c r="J10" s="66"/>
      <c r="K10" s="66"/>
      <c r="L10" s="66"/>
      <c r="M10" s="66"/>
      <c r="N10" s="66"/>
      <c r="O10" s="66"/>
      <c r="P10" s="66"/>
      <c r="Q10" s="66"/>
    </row>
    <row r="11" spans="1:17" ht="18" customHeight="1" thickTop="1" thickBot="1" x14ac:dyDescent="0.35">
      <c r="A11" s="63" t="s">
        <v>57</v>
      </c>
      <c r="B11" s="108">
        <f t="shared" si="2"/>
        <v>81259</v>
      </c>
      <c r="C11" s="108">
        <v>83203</v>
      </c>
      <c r="D11" s="109">
        <f t="shared" si="0"/>
        <v>1944</v>
      </c>
      <c r="E11" s="63"/>
      <c r="F11" s="63">
        <f t="shared" si="3"/>
        <v>25796</v>
      </c>
      <c r="G11" s="63">
        <v>27398</v>
      </c>
      <c r="H11" s="65">
        <f t="shared" si="1"/>
        <v>1602</v>
      </c>
      <c r="I11" s="66"/>
      <c r="J11" s="66"/>
      <c r="K11" s="66"/>
      <c r="L11" s="66"/>
      <c r="M11" s="66"/>
      <c r="N11" s="66"/>
      <c r="O11" s="66"/>
      <c r="P11" s="66"/>
      <c r="Q11" s="66"/>
    </row>
    <row r="12" spans="1:17" ht="18" customHeight="1" thickTop="1" thickBot="1" x14ac:dyDescent="0.35">
      <c r="A12" s="63" t="s">
        <v>58</v>
      </c>
      <c r="B12" s="108">
        <f t="shared" si="2"/>
        <v>83203</v>
      </c>
      <c r="C12" s="108">
        <v>84968</v>
      </c>
      <c r="D12" s="109">
        <f t="shared" si="0"/>
        <v>1765</v>
      </c>
      <c r="E12" s="63"/>
      <c r="F12" s="63">
        <f t="shared" si="3"/>
        <v>27398</v>
      </c>
      <c r="G12" s="63">
        <v>28650</v>
      </c>
      <c r="H12" s="65">
        <f t="shared" si="1"/>
        <v>1252</v>
      </c>
      <c r="I12" s="66"/>
      <c r="J12" s="66"/>
      <c r="K12" s="66"/>
      <c r="L12" s="66"/>
      <c r="M12" s="66"/>
      <c r="N12" s="66"/>
      <c r="O12" s="66"/>
      <c r="P12" s="66"/>
      <c r="Q12" s="66"/>
    </row>
    <row r="13" spans="1:17" ht="18" customHeight="1" thickTop="1" thickBot="1" x14ac:dyDescent="0.35">
      <c r="A13" s="63" t="s">
        <v>59</v>
      </c>
      <c r="B13" s="108">
        <f t="shared" si="2"/>
        <v>84968</v>
      </c>
      <c r="C13" s="108">
        <v>85849</v>
      </c>
      <c r="D13" s="109">
        <f t="shared" si="0"/>
        <v>881</v>
      </c>
      <c r="E13" s="63"/>
      <c r="F13" s="63">
        <f t="shared" si="3"/>
        <v>28650</v>
      </c>
      <c r="G13" s="63">
        <v>29295</v>
      </c>
      <c r="H13" s="65">
        <f t="shared" si="1"/>
        <v>645</v>
      </c>
      <c r="I13" s="66"/>
      <c r="J13" s="66"/>
      <c r="K13" s="66"/>
      <c r="L13" s="66"/>
      <c r="M13" s="66"/>
      <c r="N13" s="66"/>
      <c r="O13" s="66"/>
      <c r="P13" s="66"/>
      <c r="Q13" s="66"/>
    </row>
    <row r="14" spans="1:17" ht="18" customHeight="1" thickTop="1" thickBot="1" x14ac:dyDescent="0.35">
      <c r="A14" s="63" t="s">
        <v>60</v>
      </c>
      <c r="B14" s="108">
        <f t="shared" si="2"/>
        <v>85849</v>
      </c>
      <c r="C14" s="108">
        <v>87477</v>
      </c>
      <c r="D14" s="109">
        <f t="shared" si="0"/>
        <v>1628</v>
      </c>
      <c r="E14" s="63"/>
      <c r="F14" s="63">
        <f t="shared" si="3"/>
        <v>29295</v>
      </c>
      <c r="G14" s="63">
        <v>30426</v>
      </c>
      <c r="H14" s="65">
        <f t="shared" si="1"/>
        <v>1131</v>
      </c>
      <c r="I14" s="66"/>
      <c r="J14" s="66"/>
      <c r="K14" s="66"/>
      <c r="L14" s="66"/>
      <c r="M14" s="66"/>
      <c r="N14" s="66"/>
      <c r="O14" s="66"/>
      <c r="P14" s="66"/>
      <c r="Q14" s="66"/>
    </row>
    <row r="15" spans="1:17" ht="18" customHeight="1" thickTop="1" thickBot="1" x14ac:dyDescent="0.35">
      <c r="A15" s="63" t="s">
        <v>61</v>
      </c>
      <c r="B15" s="108">
        <f t="shared" si="2"/>
        <v>87477</v>
      </c>
      <c r="C15" s="108">
        <v>88654</v>
      </c>
      <c r="D15" s="109">
        <f t="shared" si="0"/>
        <v>1177</v>
      </c>
      <c r="E15" s="63"/>
      <c r="F15" s="63">
        <f t="shared" si="3"/>
        <v>30426</v>
      </c>
      <c r="G15" s="63">
        <v>31254</v>
      </c>
      <c r="H15" s="65">
        <f t="shared" si="1"/>
        <v>828</v>
      </c>
      <c r="I15" s="66"/>
      <c r="J15" s="66"/>
      <c r="K15" s="66"/>
      <c r="L15" s="66"/>
      <c r="M15" s="66"/>
      <c r="N15" s="66"/>
      <c r="O15" s="66"/>
      <c r="P15" s="66"/>
      <c r="Q15" s="66"/>
    </row>
    <row r="16" spans="1:17" ht="18" customHeight="1" thickTop="1" thickBot="1" x14ac:dyDescent="0.35">
      <c r="A16" s="63" t="s">
        <v>62</v>
      </c>
      <c r="B16" s="108">
        <f>C15</f>
        <v>88654</v>
      </c>
      <c r="C16" s="108">
        <v>89982</v>
      </c>
      <c r="D16" s="109">
        <f t="shared" si="0"/>
        <v>1328</v>
      </c>
      <c r="E16" s="63"/>
      <c r="F16" s="63">
        <f>G15</f>
        <v>31254</v>
      </c>
      <c r="G16" s="63">
        <v>31764</v>
      </c>
      <c r="H16" s="65">
        <f t="shared" si="1"/>
        <v>510</v>
      </c>
      <c r="I16" s="66"/>
      <c r="J16" s="66"/>
      <c r="K16" s="66"/>
      <c r="L16" s="66"/>
      <c r="M16" s="66"/>
      <c r="N16" s="66"/>
      <c r="O16" s="66"/>
      <c r="P16" s="66"/>
      <c r="Q16" s="66"/>
    </row>
    <row r="17" spans="1:17" ht="18" customHeight="1" thickTop="1" thickBot="1" x14ac:dyDescent="0.35">
      <c r="A17" s="63" t="s">
        <v>63</v>
      </c>
      <c r="B17" s="108">
        <f>C16</f>
        <v>89982</v>
      </c>
      <c r="C17" s="108">
        <v>90826</v>
      </c>
      <c r="D17" s="109">
        <f t="shared" si="0"/>
        <v>844</v>
      </c>
      <c r="E17" s="63"/>
      <c r="F17" s="63">
        <f>G16</f>
        <v>31764</v>
      </c>
      <c r="G17" s="63">
        <v>32280</v>
      </c>
      <c r="H17" s="65">
        <f t="shared" si="1"/>
        <v>516</v>
      </c>
      <c r="I17" s="66"/>
      <c r="J17" s="66"/>
      <c r="K17" s="66"/>
      <c r="L17" s="66"/>
      <c r="M17" s="66"/>
      <c r="N17" s="66"/>
      <c r="O17" s="66"/>
      <c r="P17" s="66"/>
      <c r="Q17" s="66"/>
    </row>
    <row r="18" spans="1:17" ht="14.5" thickTop="1" x14ac:dyDescent="0.3">
      <c r="I18" s="66"/>
      <c r="J18" s="66"/>
      <c r="K18" s="66"/>
      <c r="L18" s="66"/>
      <c r="M18" s="66"/>
      <c r="N18" s="66"/>
      <c r="O18" s="66"/>
      <c r="P18" s="66"/>
      <c r="Q18" s="66"/>
    </row>
    <row r="19" spans="1:17" x14ac:dyDescent="0.3">
      <c r="I19" s="66"/>
      <c r="J19" s="66"/>
      <c r="K19" s="66"/>
      <c r="L19" s="66"/>
      <c r="M19" s="66"/>
      <c r="N19" s="66"/>
      <c r="O19" s="66"/>
      <c r="P19" s="66"/>
      <c r="Q19" s="66"/>
    </row>
    <row r="20" spans="1:17" x14ac:dyDescent="0.3">
      <c r="A20" s="66" t="s">
        <v>103</v>
      </c>
      <c r="B20" s="64"/>
      <c r="C20" s="64"/>
      <c r="D20" s="64"/>
      <c r="E20" s="64"/>
      <c r="F20" s="64"/>
      <c r="G20" s="64"/>
      <c r="H20" s="64"/>
      <c r="I20" s="66"/>
      <c r="J20" s="66"/>
      <c r="K20" s="66"/>
      <c r="L20" s="66"/>
      <c r="M20" s="66"/>
      <c r="N20" s="66"/>
      <c r="O20" s="66"/>
      <c r="P20" s="66"/>
      <c r="Q20" s="66"/>
    </row>
    <row r="21" spans="1:17" x14ac:dyDescent="0.3">
      <c r="A21" s="66" t="s">
        <v>72</v>
      </c>
      <c r="B21" s="64"/>
      <c r="C21" s="64"/>
      <c r="D21" s="64"/>
      <c r="E21" s="64"/>
      <c r="F21" s="64"/>
      <c r="G21" s="64"/>
      <c r="H21" s="64"/>
      <c r="I21" s="66"/>
      <c r="J21" s="66"/>
      <c r="K21" s="66"/>
      <c r="L21" s="66"/>
      <c r="M21" s="66"/>
      <c r="N21" s="66"/>
      <c r="O21" s="66"/>
      <c r="P21" s="66"/>
      <c r="Q21" s="66"/>
    </row>
    <row r="22" spans="1:17" ht="14.5" thickBot="1" x14ac:dyDescent="0.35">
      <c r="I22" s="66"/>
      <c r="J22" s="66"/>
      <c r="K22" s="66"/>
      <c r="L22" s="66"/>
      <c r="M22" s="66"/>
      <c r="N22" s="66"/>
      <c r="O22" s="66"/>
      <c r="P22" s="66"/>
      <c r="Q22" s="66"/>
    </row>
    <row r="23" spans="1:17" ht="16.5" customHeight="1" thickTop="1" thickBot="1" x14ac:dyDescent="0.35">
      <c r="A23" s="318" t="s">
        <v>51</v>
      </c>
      <c r="B23" s="313" t="s">
        <v>66</v>
      </c>
      <c r="C23" s="314"/>
      <c r="D23" s="315" t="s">
        <v>64</v>
      </c>
      <c r="E23" s="315" t="s">
        <v>65</v>
      </c>
      <c r="F23" s="313" t="s">
        <v>67</v>
      </c>
      <c r="G23" s="314"/>
      <c r="H23" s="315" t="s">
        <v>64</v>
      </c>
      <c r="I23" s="66"/>
      <c r="J23" s="66"/>
      <c r="K23" s="66"/>
      <c r="L23" s="66"/>
      <c r="M23" s="66"/>
      <c r="N23" s="66"/>
      <c r="O23" s="66"/>
      <c r="P23" s="66"/>
      <c r="Q23" s="66"/>
    </row>
    <row r="24" spans="1:17" ht="15" thickTop="1" thickBot="1" x14ac:dyDescent="0.35">
      <c r="A24" s="319"/>
      <c r="B24" s="62" t="s">
        <v>68</v>
      </c>
      <c r="C24" s="62" t="s">
        <v>69</v>
      </c>
      <c r="D24" s="316"/>
      <c r="E24" s="316"/>
      <c r="F24" s="62" t="s">
        <v>68</v>
      </c>
      <c r="G24" s="62" t="s">
        <v>69</v>
      </c>
      <c r="H24" s="316"/>
      <c r="I24" s="66"/>
      <c r="J24" s="66"/>
      <c r="K24" s="66"/>
      <c r="L24" s="66"/>
      <c r="M24" s="66"/>
      <c r="N24" s="66"/>
      <c r="O24" s="66"/>
      <c r="P24" s="66"/>
      <c r="Q24" s="66"/>
    </row>
    <row r="25" spans="1:17" ht="15" thickTop="1" thickBot="1" x14ac:dyDescent="0.35">
      <c r="A25" s="63" t="s">
        <v>52</v>
      </c>
      <c r="B25" s="63">
        <v>63270</v>
      </c>
      <c r="C25" s="63">
        <v>64828</v>
      </c>
      <c r="D25" s="65">
        <f>C25-B25</f>
        <v>1558</v>
      </c>
      <c r="E25" s="63"/>
      <c r="F25" s="63">
        <v>4863</v>
      </c>
      <c r="G25" s="63">
        <v>5973</v>
      </c>
      <c r="H25" s="65">
        <f>G25-F25</f>
        <v>1110</v>
      </c>
      <c r="I25" s="66"/>
      <c r="J25" s="66"/>
      <c r="K25" s="66"/>
      <c r="L25" s="66"/>
      <c r="M25" s="66"/>
      <c r="N25" s="66"/>
      <c r="O25" s="66"/>
      <c r="P25" s="66"/>
      <c r="Q25" s="66"/>
    </row>
    <row r="26" spans="1:17" ht="15" thickTop="1" thickBot="1" x14ac:dyDescent="0.35">
      <c r="A26" s="63" t="s">
        <v>53</v>
      </c>
      <c r="B26" s="63">
        <f>+C25</f>
        <v>64828</v>
      </c>
      <c r="C26" s="63">
        <v>66187</v>
      </c>
      <c r="D26" s="65">
        <f t="shared" ref="D26:D36" si="4">C26-B26</f>
        <v>1359</v>
      </c>
      <c r="E26" s="63"/>
      <c r="F26" s="63">
        <f>+G25</f>
        <v>5973</v>
      </c>
      <c r="G26" s="63">
        <v>6409</v>
      </c>
      <c r="H26" s="65">
        <f t="shared" ref="H26:H36" si="5">G26-F26</f>
        <v>436</v>
      </c>
      <c r="I26" s="66"/>
      <c r="J26" s="66"/>
      <c r="K26" s="66"/>
      <c r="L26" s="66"/>
      <c r="M26" s="66"/>
      <c r="N26" s="66"/>
      <c r="O26" s="66"/>
      <c r="P26" s="66"/>
      <c r="Q26" s="66"/>
    </row>
    <row r="27" spans="1:17" ht="15" thickTop="1" thickBot="1" x14ac:dyDescent="0.35">
      <c r="A27" s="63" t="s">
        <v>54</v>
      </c>
      <c r="B27" s="63">
        <f>+C26</f>
        <v>66187</v>
      </c>
      <c r="C27" s="63">
        <v>67013</v>
      </c>
      <c r="D27" s="65">
        <f t="shared" si="4"/>
        <v>826</v>
      </c>
      <c r="E27" s="63"/>
      <c r="F27" s="63">
        <f>+G26</f>
        <v>6409</v>
      </c>
      <c r="G27" s="63">
        <v>7127</v>
      </c>
      <c r="H27" s="65">
        <f t="shared" si="5"/>
        <v>718</v>
      </c>
      <c r="I27" s="66"/>
      <c r="J27" s="66"/>
      <c r="K27" s="66"/>
      <c r="L27" s="66"/>
      <c r="M27" s="66"/>
      <c r="N27" s="66"/>
      <c r="O27" s="66"/>
      <c r="P27" s="66"/>
      <c r="Q27" s="66"/>
    </row>
    <row r="28" spans="1:17" ht="15" thickTop="1" thickBot="1" x14ac:dyDescent="0.35">
      <c r="A28" s="63" t="s">
        <v>55</v>
      </c>
      <c r="B28" s="63">
        <f>+C27</f>
        <v>67013</v>
      </c>
      <c r="C28" s="63">
        <v>68217</v>
      </c>
      <c r="D28" s="65">
        <f>C28-B28</f>
        <v>1204</v>
      </c>
      <c r="E28" s="63"/>
      <c r="F28" s="63">
        <f>+G27</f>
        <v>7127</v>
      </c>
      <c r="G28" s="63">
        <v>7886</v>
      </c>
      <c r="H28" s="65">
        <f t="shared" si="5"/>
        <v>759</v>
      </c>
      <c r="I28" s="66"/>
      <c r="J28" s="66"/>
      <c r="K28" s="66"/>
      <c r="L28" s="66"/>
      <c r="M28" s="66"/>
      <c r="N28" s="66"/>
      <c r="O28" s="66"/>
      <c r="P28" s="66"/>
      <c r="Q28" s="66"/>
    </row>
    <row r="29" spans="1:17" ht="15" thickTop="1" thickBot="1" x14ac:dyDescent="0.35">
      <c r="A29" s="63" t="s">
        <v>56</v>
      </c>
      <c r="B29" s="63">
        <f t="shared" ref="B29:B34" si="6">C28</f>
        <v>68217</v>
      </c>
      <c r="C29" s="63">
        <v>69441</v>
      </c>
      <c r="D29" s="65">
        <f>C29-B29</f>
        <v>1224</v>
      </c>
      <c r="E29" s="63"/>
      <c r="F29" s="63">
        <f t="shared" ref="F29:F34" si="7">G28</f>
        <v>7886</v>
      </c>
      <c r="G29" s="63">
        <v>9225</v>
      </c>
      <c r="H29" s="65">
        <f t="shared" si="5"/>
        <v>1339</v>
      </c>
      <c r="I29" s="66"/>
      <c r="J29" s="66"/>
      <c r="K29" s="66"/>
      <c r="L29" s="66"/>
      <c r="M29" s="66"/>
      <c r="N29" s="66"/>
      <c r="O29" s="66"/>
      <c r="P29" s="66"/>
      <c r="Q29" s="66"/>
    </row>
    <row r="30" spans="1:17" ht="15" thickTop="1" thickBot="1" x14ac:dyDescent="0.35">
      <c r="A30" s="63" t="s">
        <v>57</v>
      </c>
      <c r="B30" s="63">
        <f t="shared" si="6"/>
        <v>69441</v>
      </c>
      <c r="C30" s="63">
        <v>70711</v>
      </c>
      <c r="D30" s="65">
        <f t="shared" si="4"/>
        <v>1270</v>
      </c>
      <c r="E30" s="63"/>
      <c r="F30" s="63">
        <f t="shared" si="7"/>
        <v>9225</v>
      </c>
      <c r="G30" s="63">
        <v>9677</v>
      </c>
      <c r="H30" s="65">
        <f t="shared" si="5"/>
        <v>452</v>
      </c>
      <c r="I30" s="66"/>
      <c r="J30" s="66"/>
      <c r="K30" s="66"/>
      <c r="L30" s="66"/>
      <c r="M30" s="66"/>
      <c r="N30" s="66"/>
      <c r="O30" s="66"/>
      <c r="P30" s="66"/>
      <c r="Q30" s="66"/>
    </row>
    <row r="31" spans="1:17" ht="15" thickTop="1" thickBot="1" x14ac:dyDescent="0.35">
      <c r="A31" s="63" t="s">
        <v>58</v>
      </c>
      <c r="B31" s="63">
        <f t="shared" si="6"/>
        <v>70711</v>
      </c>
      <c r="C31" s="63">
        <v>71953</v>
      </c>
      <c r="D31" s="65">
        <f t="shared" si="4"/>
        <v>1242</v>
      </c>
      <c r="E31" s="63"/>
      <c r="F31" s="63">
        <f t="shared" si="7"/>
        <v>9677</v>
      </c>
      <c r="G31" s="63">
        <v>10290</v>
      </c>
      <c r="H31" s="65">
        <f t="shared" si="5"/>
        <v>613</v>
      </c>
      <c r="I31" s="66"/>
      <c r="J31" s="66"/>
      <c r="K31" s="66"/>
      <c r="L31" s="66"/>
      <c r="M31" s="66"/>
      <c r="N31" s="66"/>
      <c r="O31" s="66"/>
      <c r="P31" s="66"/>
      <c r="Q31" s="66"/>
    </row>
    <row r="32" spans="1:17" ht="15" thickTop="1" thickBot="1" x14ac:dyDescent="0.35">
      <c r="A32" s="63" t="s">
        <v>59</v>
      </c>
      <c r="B32" s="63">
        <f t="shared" si="6"/>
        <v>71953</v>
      </c>
      <c r="C32" s="63">
        <v>73159</v>
      </c>
      <c r="D32" s="65">
        <f t="shared" si="4"/>
        <v>1206</v>
      </c>
      <c r="E32" s="63"/>
      <c r="F32" s="63">
        <f t="shared" si="7"/>
        <v>10290</v>
      </c>
      <c r="G32" s="63">
        <v>10736</v>
      </c>
      <c r="H32" s="65">
        <f t="shared" si="5"/>
        <v>446</v>
      </c>
      <c r="I32" s="66"/>
      <c r="J32" s="66"/>
      <c r="K32" s="66"/>
      <c r="L32" s="66"/>
      <c r="M32" s="66"/>
      <c r="N32" s="66"/>
      <c r="O32" s="66"/>
      <c r="P32" s="66"/>
      <c r="Q32" s="66"/>
    </row>
    <row r="33" spans="1:17" ht="15" thickTop="1" thickBot="1" x14ac:dyDescent="0.35">
      <c r="A33" s="63" t="s">
        <v>60</v>
      </c>
      <c r="B33" s="63">
        <f t="shared" si="6"/>
        <v>73159</v>
      </c>
      <c r="C33" s="63">
        <v>74511</v>
      </c>
      <c r="D33" s="65">
        <f t="shared" si="4"/>
        <v>1352</v>
      </c>
      <c r="E33" s="63"/>
      <c r="F33" s="63">
        <f t="shared" si="7"/>
        <v>10736</v>
      </c>
      <c r="G33" s="63">
        <v>11343</v>
      </c>
      <c r="H33" s="65">
        <f t="shared" si="5"/>
        <v>607</v>
      </c>
      <c r="I33" s="64"/>
      <c r="J33" s="64"/>
      <c r="K33" s="64"/>
      <c r="L33" s="64"/>
      <c r="M33" s="64"/>
      <c r="N33" s="64"/>
      <c r="O33" s="64"/>
      <c r="P33" s="64"/>
      <c r="Q33" s="64"/>
    </row>
    <row r="34" spans="1:17" ht="15" thickTop="1" thickBot="1" x14ac:dyDescent="0.35">
      <c r="A34" s="63" t="s">
        <v>61</v>
      </c>
      <c r="B34" s="63">
        <f t="shared" si="6"/>
        <v>74511</v>
      </c>
      <c r="C34" s="63">
        <v>75838</v>
      </c>
      <c r="D34" s="65">
        <f t="shared" si="4"/>
        <v>1327</v>
      </c>
      <c r="E34" s="63"/>
      <c r="F34" s="63">
        <f t="shared" si="7"/>
        <v>11343</v>
      </c>
      <c r="G34" s="63">
        <v>12214</v>
      </c>
      <c r="H34" s="65">
        <f t="shared" si="5"/>
        <v>871</v>
      </c>
      <c r="I34" s="64"/>
      <c r="J34" s="64"/>
      <c r="K34" s="64"/>
      <c r="L34" s="64"/>
      <c r="M34" s="64"/>
      <c r="N34" s="64"/>
      <c r="O34" s="64"/>
      <c r="P34" s="64"/>
      <c r="Q34" s="64"/>
    </row>
    <row r="35" spans="1:17" ht="15" thickTop="1" thickBot="1" x14ac:dyDescent="0.35">
      <c r="A35" s="63" t="s">
        <v>62</v>
      </c>
      <c r="B35" s="63">
        <f>C34</f>
        <v>75838</v>
      </c>
      <c r="C35" s="63">
        <v>76876</v>
      </c>
      <c r="D35" s="65">
        <f t="shared" si="4"/>
        <v>1038</v>
      </c>
      <c r="E35" s="63"/>
      <c r="F35" s="63">
        <f>G34</f>
        <v>12214</v>
      </c>
      <c r="G35" s="63">
        <v>12943</v>
      </c>
      <c r="H35" s="65">
        <f t="shared" si="5"/>
        <v>729</v>
      </c>
      <c r="I35" s="64"/>
      <c r="J35" s="64"/>
      <c r="K35" s="64"/>
      <c r="L35" s="64"/>
      <c r="M35" s="64"/>
      <c r="N35" s="64"/>
      <c r="O35" s="64"/>
      <c r="P35" s="64"/>
      <c r="Q35" s="64"/>
    </row>
    <row r="36" spans="1:17" ht="15" thickTop="1" thickBot="1" x14ac:dyDescent="0.35">
      <c r="A36" s="63" t="s">
        <v>63</v>
      </c>
      <c r="B36" s="63">
        <f>C35</f>
        <v>76876</v>
      </c>
      <c r="C36" s="63">
        <v>77782</v>
      </c>
      <c r="D36" s="65">
        <f t="shared" si="4"/>
        <v>906</v>
      </c>
      <c r="E36" s="63"/>
      <c r="F36" s="63">
        <f>G35</f>
        <v>12943</v>
      </c>
      <c r="G36" s="63">
        <v>13475</v>
      </c>
      <c r="H36" s="65">
        <f t="shared" si="5"/>
        <v>532</v>
      </c>
      <c r="I36" s="64"/>
      <c r="J36" s="64"/>
      <c r="K36" s="64"/>
      <c r="L36" s="64"/>
      <c r="M36" s="64"/>
      <c r="N36" s="64"/>
      <c r="O36" s="64"/>
      <c r="P36" s="64"/>
      <c r="Q36" s="64"/>
    </row>
    <row r="37" spans="1:17" ht="14.5" thickTop="1" x14ac:dyDescent="0.3">
      <c r="I37" s="64"/>
      <c r="J37" s="64"/>
      <c r="K37" s="64"/>
      <c r="L37" s="64"/>
      <c r="M37" s="64"/>
      <c r="N37" s="64"/>
      <c r="O37" s="64"/>
      <c r="P37" s="64"/>
      <c r="Q37" s="64"/>
    </row>
    <row r="38" spans="1:17" x14ac:dyDescent="0.3">
      <c r="A38" s="66" t="s">
        <v>103</v>
      </c>
      <c r="B38" s="64"/>
      <c r="C38" s="64"/>
      <c r="D38" s="64"/>
      <c r="E38" s="64"/>
      <c r="I38" s="64"/>
      <c r="J38" s="64"/>
      <c r="K38" s="64"/>
      <c r="L38" s="64"/>
      <c r="M38" s="64"/>
      <c r="N38" s="64"/>
      <c r="O38" s="64"/>
      <c r="P38" s="64"/>
      <c r="Q38" s="64"/>
    </row>
    <row r="39" spans="1:17" x14ac:dyDescent="0.3">
      <c r="A39" s="66" t="s">
        <v>70</v>
      </c>
      <c r="B39" s="64"/>
      <c r="C39" s="64"/>
      <c r="D39" s="64"/>
      <c r="E39" s="64"/>
      <c r="I39" s="64"/>
      <c r="J39" s="64"/>
      <c r="K39" s="64"/>
      <c r="L39" s="64"/>
      <c r="M39" s="64"/>
      <c r="N39" s="64"/>
      <c r="O39" s="64"/>
      <c r="P39" s="64"/>
      <c r="Q39" s="64"/>
    </row>
    <row r="40" spans="1:17" ht="14.5" thickBot="1" x14ac:dyDescent="0.35">
      <c r="J40" s="135"/>
      <c r="K40" s="135"/>
      <c r="L40" s="135"/>
      <c r="M40" s="135"/>
    </row>
    <row r="41" spans="1:17" ht="16.5" customHeight="1" thickTop="1" thickBot="1" x14ac:dyDescent="0.35">
      <c r="A41" s="318" t="s">
        <v>51</v>
      </c>
      <c r="B41" s="313" t="s">
        <v>66</v>
      </c>
      <c r="C41" s="314"/>
      <c r="D41" s="315" t="s">
        <v>64</v>
      </c>
      <c r="E41" s="315" t="s">
        <v>65</v>
      </c>
      <c r="J41" s="317"/>
      <c r="K41" s="317"/>
      <c r="L41" s="317"/>
      <c r="M41" s="317"/>
    </row>
    <row r="42" spans="1:17" ht="15" thickTop="1" thickBot="1" x14ac:dyDescent="0.35">
      <c r="A42" s="319"/>
      <c r="B42" s="62" t="s">
        <v>68</v>
      </c>
      <c r="C42" s="62" t="s">
        <v>69</v>
      </c>
      <c r="D42" s="316"/>
      <c r="E42" s="316"/>
      <c r="J42" s="136"/>
      <c r="K42" s="136"/>
      <c r="L42" s="317"/>
      <c r="M42" s="317"/>
    </row>
    <row r="43" spans="1:17" ht="15" thickTop="1" thickBot="1" x14ac:dyDescent="0.35">
      <c r="A43" s="63" t="s">
        <v>52</v>
      </c>
      <c r="B43" s="63">
        <v>88977</v>
      </c>
      <c r="C43" s="63">
        <v>89767</v>
      </c>
      <c r="D43" s="65">
        <f>C43-B43</f>
        <v>790</v>
      </c>
      <c r="E43" s="63"/>
      <c r="J43" s="137"/>
      <c r="K43" s="137"/>
      <c r="L43" s="138"/>
      <c r="M43" s="137"/>
    </row>
    <row r="44" spans="1:17" ht="15" thickTop="1" thickBot="1" x14ac:dyDescent="0.35">
      <c r="A44" s="63" t="s">
        <v>53</v>
      </c>
      <c r="B44" s="63">
        <v>88977</v>
      </c>
      <c r="C44" s="63">
        <v>90753</v>
      </c>
      <c r="D44" s="65">
        <f t="shared" ref="D44:D54" si="8">C44-B44</f>
        <v>1776</v>
      </c>
      <c r="E44" s="63"/>
      <c r="J44" s="137"/>
      <c r="K44" s="137"/>
      <c r="L44" s="138"/>
      <c r="M44" s="137"/>
    </row>
    <row r="45" spans="1:17" ht="15" thickTop="1" thickBot="1" x14ac:dyDescent="0.35">
      <c r="A45" s="63" t="s">
        <v>54</v>
      </c>
      <c r="B45" s="63">
        <f>+C44</f>
        <v>90753</v>
      </c>
      <c r="C45" s="63">
        <v>92685</v>
      </c>
      <c r="D45" s="65">
        <f t="shared" si="8"/>
        <v>1932</v>
      </c>
      <c r="E45" s="63"/>
      <c r="J45" s="137"/>
      <c r="K45" s="137"/>
      <c r="L45" s="138"/>
      <c r="M45" s="137"/>
    </row>
    <row r="46" spans="1:17" ht="15" thickTop="1" thickBot="1" x14ac:dyDescent="0.35">
      <c r="A46" s="63" t="s">
        <v>55</v>
      </c>
      <c r="B46" s="63">
        <f t="shared" ref="B46:B51" si="9">C45</f>
        <v>92685</v>
      </c>
      <c r="C46" s="63">
        <v>94657</v>
      </c>
      <c r="D46" s="65">
        <f t="shared" si="8"/>
        <v>1972</v>
      </c>
      <c r="E46" s="63"/>
      <c r="J46" s="137"/>
      <c r="K46" s="137"/>
      <c r="L46" s="138"/>
      <c r="M46" s="137"/>
    </row>
    <row r="47" spans="1:17" ht="15" thickTop="1" thickBot="1" x14ac:dyDescent="0.35">
      <c r="A47" s="63" t="s">
        <v>56</v>
      </c>
      <c r="B47" s="63">
        <f t="shared" si="9"/>
        <v>94657</v>
      </c>
      <c r="C47" s="63">
        <v>96300</v>
      </c>
      <c r="D47" s="65">
        <f t="shared" si="8"/>
        <v>1643</v>
      </c>
      <c r="E47" s="63"/>
      <c r="J47" s="137"/>
      <c r="K47" s="137"/>
      <c r="L47" s="138"/>
      <c r="M47" s="137"/>
    </row>
    <row r="48" spans="1:17" ht="15" thickTop="1" thickBot="1" x14ac:dyDescent="0.35">
      <c r="A48" s="63" t="s">
        <v>57</v>
      </c>
      <c r="B48" s="63">
        <f t="shared" si="9"/>
        <v>96300</v>
      </c>
      <c r="C48" s="63">
        <v>97599</v>
      </c>
      <c r="D48" s="65">
        <f t="shared" si="8"/>
        <v>1299</v>
      </c>
      <c r="E48" s="63"/>
      <c r="J48" s="137"/>
      <c r="K48" s="137"/>
      <c r="L48" s="138"/>
      <c r="M48" s="137"/>
    </row>
    <row r="49" spans="1:17" ht="15" thickTop="1" thickBot="1" x14ac:dyDescent="0.35">
      <c r="A49" s="63" t="s">
        <v>58</v>
      </c>
      <c r="B49" s="63">
        <f t="shared" si="9"/>
        <v>97599</v>
      </c>
      <c r="C49" s="63">
        <v>99129</v>
      </c>
      <c r="D49" s="65">
        <f t="shared" si="8"/>
        <v>1530</v>
      </c>
      <c r="E49" s="63"/>
      <c r="J49" s="137"/>
      <c r="K49" s="137"/>
      <c r="L49" s="138"/>
      <c r="M49" s="137"/>
    </row>
    <row r="50" spans="1:17" ht="15" thickTop="1" thickBot="1" x14ac:dyDescent="0.35">
      <c r="A50" s="63" t="s">
        <v>59</v>
      </c>
      <c r="B50" s="63">
        <f t="shared" si="9"/>
        <v>99129</v>
      </c>
      <c r="C50" s="63">
        <v>100619</v>
      </c>
      <c r="D50" s="65">
        <f t="shared" si="8"/>
        <v>1490</v>
      </c>
      <c r="E50" s="63"/>
      <c r="J50" s="137"/>
      <c r="K50" s="137"/>
      <c r="L50" s="138"/>
      <c r="M50" s="137"/>
    </row>
    <row r="51" spans="1:17" ht="15" thickTop="1" thickBot="1" x14ac:dyDescent="0.35">
      <c r="A51" s="63" t="s">
        <v>60</v>
      </c>
      <c r="B51" s="63">
        <f t="shared" si="9"/>
        <v>100619</v>
      </c>
      <c r="C51" s="63">
        <v>102388</v>
      </c>
      <c r="D51" s="65">
        <f t="shared" si="8"/>
        <v>1769</v>
      </c>
      <c r="E51" s="63"/>
      <c r="J51" s="137"/>
      <c r="K51" s="137"/>
      <c r="L51" s="138"/>
      <c r="M51" s="137"/>
    </row>
    <row r="52" spans="1:17" ht="15" thickTop="1" thickBot="1" x14ac:dyDescent="0.35">
      <c r="A52" s="63" t="s">
        <v>61</v>
      </c>
      <c r="B52" s="63">
        <f>C51</f>
        <v>102388</v>
      </c>
      <c r="C52" s="63">
        <v>104492</v>
      </c>
      <c r="D52" s="65">
        <f t="shared" si="8"/>
        <v>2104</v>
      </c>
      <c r="E52" s="63"/>
      <c r="J52" s="137"/>
      <c r="K52" s="137"/>
      <c r="L52" s="138"/>
      <c r="M52" s="137"/>
    </row>
    <row r="53" spans="1:17" ht="15" thickTop="1" thickBot="1" x14ac:dyDescent="0.35">
      <c r="A53" s="63" t="s">
        <v>62</v>
      </c>
      <c r="B53" s="63">
        <f>C52</f>
        <v>104492</v>
      </c>
      <c r="C53" s="63">
        <v>105982</v>
      </c>
      <c r="D53" s="65">
        <f t="shared" si="8"/>
        <v>1490</v>
      </c>
      <c r="E53" s="63"/>
      <c r="J53" s="137"/>
      <c r="K53" s="137"/>
      <c r="L53" s="138"/>
      <c r="M53" s="137"/>
    </row>
    <row r="54" spans="1:17" ht="15" thickTop="1" thickBot="1" x14ac:dyDescent="0.35">
      <c r="A54" s="63" t="s">
        <v>63</v>
      </c>
      <c r="B54" s="63">
        <f>C53</f>
        <v>105982</v>
      </c>
      <c r="C54" s="63">
        <v>107840</v>
      </c>
      <c r="D54" s="65">
        <f t="shared" si="8"/>
        <v>1858</v>
      </c>
      <c r="E54" s="63"/>
      <c r="J54" s="137"/>
      <c r="K54" s="137"/>
      <c r="L54" s="138"/>
      <c r="M54" s="137"/>
    </row>
    <row r="55" spans="1:17" ht="14.5" thickTop="1" x14ac:dyDescent="0.3">
      <c r="J55" s="135"/>
      <c r="K55" s="135"/>
      <c r="L55" s="135"/>
      <c r="M55" s="135"/>
    </row>
    <row r="56" spans="1:17" x14ac:dyDescent="0.3">
      <c r="A56" s="66" t="s">
        <v>103</v>
      </c>
      <c r="B56" s="64"/>
      <c r="C56" s="64"/>
      <c r="D56" s="64"/>
      <c r="E56" s="64"/>
      <c r="J56" s="64"/>
      <c r="K56" s="64"/>
      <c r="L56" s="64"/>
      <c r="M56" s="64"/>
    </row>
    <row r="57" spans="1:17" x14ac:dyDescent="0.3">
      <c r="A57" s="66" t="s">
        <v>76</v>
      </c>
      <c r="B57" s="64"/>
      <c r="C57" s="64"/>
      <c r="D57" s="64"/>
      <c r="E57" s="64"/>
      <c r="J57" s="64"/>
      <c r="K57" s="64"/>
      <c r="L57" s="64"/>
      <c r="M57" s="64"/>
    </row>
    <row r="58" spans="1:17" x14ac:dyDescent="0.3">
      <c r="A58" s="66" t="s">
        <v>74</v>
      </c>
      <c r="B58" s="64"/>
      <c r="C58" s="64"/>
      <c r="D58" s="64"/>
      <c r="E58" s="64"/>
      <c r="J58" s="64"/>
      <c r="K58" s="64"/>
      <c r="L58" s="64"/>
      <c r="M58" s="64"/>
    </row>
    <row r="59" spans="1:17" x14ac:dyDescent="0.3">
      <c r="A59" s="81" t="s">
        <v>75</v>
      </c>
    </row>
    <row r="60" spans="1:17" ht="14.5" thickBot="1" x14ac:dyDescent="0.35"/>
    <row r="61" spans="1:17" ht="16.5" customHeight="1" thickTop="1" thickBot="1" x14ac:dyDescent="0.35">
      <c r="A61" s="318" t="s">
        <v>51</v>
      </c>
      <c r="B61" s="313" t="s">
        <v>82</v>
      </c>
      <c r="C61" s="314"/>
      <c r="D61" s="315" t="s">
        <v>64</v>
      </c>
      <c r="E61" s="315" t="s">
        <v>65</v>
      </c>
      <c r="F61" s="313" t="s">
        <v>83</v>
      </c>
      <c r="G61" s="314"/>
      <c r="H61" s="315" t="s">
        <v>64</v>
      </c>
      <c r="I61" s="315" t="s">
        <v>65</v>
      </c>
      <c r="J61" s="313" t="s">
        <v>94</v>
      </c>
      <c r="K61" s="314"/>
      <c r="L61" s="315" t="s">
        <v>64</v>
      </c>
      <c r="M61" s="315" t="s">
        <v>65</v>
      </c>
      <c r="N61" s="313" t="s">
        <v>169</v>
      </c>
      <c r="O61" s="314"/>
      <c r="P61" s="315" t="s">
        <v>64</v>
      </c>
      <c r="Q61" s="315" t="s">
        <v>65</v>
      </c>
    </row>
    <row r="62" spans="1:17" ht="15" thickTop="1" thickBot="1" x14ac:dyDescent="0.35">
      <c r="A62" s="319"/>
      <c r="B62" s="62" t="s">
        <v>68</v>
      </c>
      <c r="C62" s="62" t="s">
        <v>69</v>
      </c>
      <c r="D62" s="316"/>
      <c r="E62" s="316"/>
      <c r="F62" s="62" t="s">
        <v>68</v>
      </c>
      <c r="G62" s="62" t="s">
        <v>69</v>
      </c>
      <c r="H62" s="316"/>
      <c r="I62" s="316"/>
      <c r="J62" s="62" t="s">
        <v>68</v>
      </c>
      <c r="K62" s="62" t="s">
        <v>69</v>
      </c>
      <c r="L62" s="316"/>
      <c r="M62" s="316"/>
      <c r="N62" s="62" t="s">
        <v>68</v>
      </c>
      <c r="O62" s="62" t="s">
        <v>69</v>
      </c>
      <c r="P62" s="316"/>
      <c r="Q62" s="316"/>
    </row>
    <row r="63" spans="1:17" ht="15" thickTop="1" thickBot="1" x14ac:dyDescent="0.35">
      <c r="A63" s="63" t="s">
        <v>52</v>
      </c>
      <c r="B63" s="63">
        <v>9376</v>
      </c>
      <c r="C63" s="63">
        <v>9729</v>
      </c>
      <c r="D63" s="65">
        <f>+C63-B63</f>
        <v>353</v>
      </c>
      <c r="E63" s="63"/>
      <c r="F63" s="63">
        <v>8122</v>
      </c>
      <c r="G63" s="63">
        <v>8503</v>
      </c>
      <c r="H63" s="65">
        <f>+G63-F63</f>
        <v>381</v>
      </c>
      <c r="I63" s="63"/>
      <c r="J63" s="63"/>
      <c r="K63" s="63"/>
      <c r="L63" s="65"/>
      <c r="M63" s="63"/>
      <c r="N63" s="63"/>
      <c r="O63" s="63"/>
      <c r="P63" s="65"/>
      <c r="Q63" s="63"/>
    </row>
    <row r="64" spans="1:17" ht="15" thickTop="1" thickBot="1" x14ac:dyDescent="0.35">
      <c r="A64" s="63" t="s">
        <v>53</v>
      </c>
      <c r="B64" s="63">
        <v>9729</v>
      </c>
      <c r="C64" s="63">
        <v>10181</v>
      </c>
      <c r="D64" s="65">
        <f>+C64-B64</f>
        <v>452</v>
      </c>
      <c r="E64" s="63"/>
      <c r="F64" s="63">
        <v>8503</v>
      </c>
      <c r="G64" s="63">
        <v>9057</v>
      </c>
      <c r="H64" s="65">
        <f>+G64-F64</f>
        <v>554</v>
      </c>
      <c r="I64" s="63"/>
      <c r="J64" s="63"/>
      <c r="K64" s="63"/>
      <c r="L64" s="65"/>
      <c r="M64" s="63"/>
      <c r="N64" s="63"/>
      <c r="O64" s="63"/>
      <c r="P64" s="65"/>
      <c r="Q64" s="63"/>
    </row>
    <row r="65" spans="1:17" ht="15" thickTop="1" thickBot="1" x14ac:dyDescent="0.35">
      <c r="A65" s="63" t="s">
        <v>54</v>
      </c>
      <c r="B65" s="63">
        <v>10181</v>
      </c>
      <c r="C65" s="63">
        <v>10542</v>
      </c>
      <c r="D65" s="65">
        <f>+C65-B65</f>
        <v>361</v>
      </c>
      <c r="E65" s="63"/>
      <c r="F65" s="63">
        <v>9057</v>
      </c>
      <c r="G65" s="63">
        <v>9363</v>
      </c>
      <c r="H65" s="65">
        <f>+G65-F65</f>
        <v>306</v>
      </c>
      <c r="I65" s="63"/>
      <c r="J65" s="63"/>
      <c r="K65" s="63"/>
      <c r="L65" s="65"/>
      <c r="M65" s="63"/>
      <c r="N65" s="63"/>
      <c r="O65" s="63"/>
      <c r="P65" s="65"/>
      <c r="Q65" s="63"/>
    </row>
    <row r="66" spans="1:17" ht="15" thickTop="1" thickBot="1" x14ac:dyDescent="0.35">
      <c r="A66" s="63" t="s">
        <v>55</v>
      </c>
      <c r="B66" s="63"/>
      <c r="C66" s="63"/>
      <c r="D66" s="65">
        <f t="shared" ref="D66:D74" si="10">+C66-B66</f>
        <v>0</v>
      </c>
      <c r="E66" s="63"/>
      <c r="F66" s="63"/>
      <c r="G66" s="63"/>
      <c r="H66" s="65">
        <f t="shared" ref="H66:H69" si="11">+G66-F66</f>
        <v>0</v>
      </c>
      <c r="I66" s="63"/>
      <c r="J66" s="63"/>
      <c r="K66" s="63"/>
      <c r="L66" s="65"/>
      <c r="M66" s="63"/>
      <c r="N66" s="63"/>
      <c r="O66" s="63"/>
      <c r="P66" s="65"/>
      <c r="Q66" s="63"/>
    </row>
    <row r="67" spans="1:17" ht="15" thickTop="1" thickBot="1" x14ac:dyDescent="0.35">
      <c r="A67" s="63" t="s">
        <v>56</v>
      </c>
      <c r="B67" s="63"/>
      <c r="C67" s="63"/>
      <c r="D67" s="65">
        <f t="shared" si="10"/>
        <v>0</v>
      </c>
      <c r="E67" s="63"/>
      <c r="F67" s="63"/>
      <c r="G67" s="63"/>
      <c r="H67" s="65">
        <f t="shared" si="11"/>
        <v>0</v>
      </c>
      <c r="I67" s="63"/>
      <c r="J67" s="63"/>
      <c r="K67" s="63"/>
      <c r="L67" s="65"/>
      <c r="M67" s="63"/>
      <c r="N67" s="63"/>
      <c r="O67" s="63"/>
      <c r="P67" s="65"/>
      <c r="Q67" s="63"/>
    </row>
    <row r="68" spans="1:17" ht="15" thickTop="1" thickBot="1" x14ac:dyDescent="0.35">
      <c r="A68" s="63" t="s">
        <v>57</v>
      </c>
      <c r="B68" s="63"/>
      <c r="C68" s="63"/>
      <c r="D68" s="65">
        <f t="shared" si="10"/>
        <v>0</v>
      </c>
      <c r="E68" s="63"/>
      <c r="F68" s="63"/>
      <c r="G68" s="63"/>
      <c r="H68" s="65">
        <f t="shared" si="11"/>
        <v>0</v>
      </c>
      <c r="I68" s="63"/>
      <c r="J68" s="63"/>
      <c r="K68" s="63"/>
      <c r="L68" s="65"/>
      <c r="M68" s="63"/>
      <c r="N68" s="63"/>
      <c r="O68" s="63"/>
      <c r="P68" s="65"/>
      <c r="Q68" s="63"/>
    </row>
    <row r="69" spans="1:17" ht="15" thickTop="1" thickBot="1" x14ac:dyDescent="0.35">
      <c r="A69" s="63" t="s">
        <v>58</v>
      </c>
      <c r="B69" s="63"/>
      <c r="C69" s="63"/>
      <c r="D69" s="65">
        <f t="shared" si="10"/>
        <v>0</v>
      </c>
      <c r="E69" s="63"/>
      <c r="F69" s="63"/>
      <c r="G69" s="63"/>
      <c r="H69" s="65">
        <f t="shared" si="11"/>
        <v>0</v>
      </c>
      <c r="I69" s="63"/>
      <c r="J69" s="63"/>
      <c r="K69" s="63"/>
      <c r="L69" s="65"/>
      <c r="M69" s="63"/>
      <c r="N69" s="63"/>
      <c r="O69" s="63"/>
      <c r="P69" s="65"/>
      <c r="Q69" s="63"/>
    </row>
    <row r="70" spans="1:17" ht="15" thickTop="1" thickBot="1" x14ac:dyDescent="0.35">
      <c r="A70" s="63" t="s">
        <v>59</v>
      </c>
      <c r="B70" s="63">
        <v>12403</v>
      </c>
      <c r="C70" s="63">
        <v>12471</v>
      </c>
      <c r="D70" s="65">
        <f t="shared" ref="D70:D72" si="12">+C70-B70</f>
        <v>68</v>
      </c>
      <c r="E70" s="63"/>
      <c r="F70" s="63">
        <v>11119</v>
      </c>
      <c r="G70" s="63">
        <v>11761</v>
      </c>
      <c r="H70" s="65">
        <f t="shared" ref="H70:H74" si="13">+G70-F70</f>
        <v>642</v>
      </c>
      <c r="I70" s="63"/>
      <c r="J70" s="63"/>
      <c r="K70" s="63"/>
      <c r="L70" s="65"/>
      <c r="M70" s="63"/>
      <c r="N70" s="63"/>
      <c r="O70" s="63"/>
      <c r="P70" s="65"/>
      <c r="Q70" s="63"/>
    </row>
    <row r="71" spans="1:17" ht="15" thickTop="1" thickBot="1" x14ac:dyDescent="0.35">
      <c r="A71" s="63" t="s">
        <v>60</v>
      </c>
      <c r="B71" s="63">
        <f>C70</f>
        <v>12471</v>
      </c>
      <c r="C71" s="63">
        <v>12783</v>
      </c>
      <c r="D71" s="65">
        <f t="shared" si="12"/>
        <v>312</v>
      </c>
      <c r="E71" s="63"/>
      <c r="F71" s="63">
        <f>G70</f>
        <v>11761</v>
      </c>
      <c r="G71" s="63">
        <v>12158</v>
      </c>
      <c r="H71" s="65">
        <f t="shared" si="13"/>
        <v>397</v>
      </c>
      <c r="I71" s="63"/>
      <c r="J71" s="63"/>
      <c r="K71" s="63"/>
      <c r="L71" s="65"/>
      <c r="M71" s="63"/>
      <c r="N71" s="63"/>
      <c r="O71" s="63"/>
      <c r="P71" s="65"/>
      <c r="Q71" s="63"/>
    </row>
    <row r="72" spans="1:17" ht="15" thickTop="1" thickBot="1" x14ac:dyDescent="0.35">
      <c r="A72" s="63" t="s">
        <v>61</v>
      </c>
      <c r="B72" s="63">
        <f>C71</f>
        <v>12783</v>
      </c>
      <c r="C72" s="63">
        <v>13170</v>
      </c>
      <c r="D72" s="65">
        <f t="shared" si="12"/>
        <v>387</v>
      </c>
      <c r="E72" s="63"/>
      <c r="F72" s="63">
        <f>G71</f>
        <v>12158</v>
      </c>
      <c r="G72" s="63">
        <v>12646</v>
      </c>
      <c r="H72" s="65">
        <f t="shared" si="13"/>
        <v>488</v>
      </c>
      <c r="I72" s="63"/>
      <c r="J72" s="63">
        <v>6</v>
      </c>
      <c r="K72" s="63">
        <v>6</v>
      </c>
      <c r="L72" s="65">
        <v>0</v>
      </c>
      <c r="M72" s="63"/>
      <c r="N72" s="63">
        <v>8</v>
      </c>
      <c r="O72" s="63">
        <v>8</v>
      </c>
      <c r="P72" s="65">
        <v>0</v>
      </c>
      <c r="Q72" s="63"/>
    </row>
    <row r="73" spans="1:17" ht="15" thickTop="1" thickBot="1" x14ac:dyDescent="0.35">
      <c r="A73" s="63" t="s">
        <v>62</v>
      </c>
      <c r="B73" s="63">
        <f>C72</f>
        <v>13170</v>
      </c>
      <c r="C73" s="63">
        <f>13450-6</f>
        <v>13444</v>
      </c>
      <c r="D73" s="65">
        <f t="shared" si="10"/>
        <v>274</v>
      </c>
      <c r="E73" s="63"/>
      <c r="F73" s="63">
        <f>G72</f>
        <v>12646</v>
      </c>
      <c r="G73" s="63">
        <f>13038-11</f>
        <v>13027</v>
      </c>
      <c r="H73" s="65">
        <f t="shared" si="13"/>
        <v>381</v>
      </c>
      <c r="I73" s="63"/>
      <c r="J73" s="63">
        <v>6</v>
      </c>
      <c r="K73" s="63">
        <v>6</v>
      </c>
      <c r="L73" s="65">
        <v>0</v>
      </c>
      <c r="M73" s="63"/>
      <c r="N73" s="63">
        <v>11</v>
      </c>
      <c r="O73" s="63">
        <v>11</v>
      </c>
      <c r="P73" s="65">
        <v>0</v>
      </c>
      <c r="Q73" s="63"/>
    </row>
    <row r="74" spans="1:17" ht="15" thickTop="1" thickBot="1" x14ac:dyDescent="0.35">
      <c r="A74" s="63" t="s">
        <v>63</v>
      </c>
      <c r="B74" s="63">
        <f>C73</f>
        <v>13444</v>
      </c>
      <c r="C74" s="63">
        <f>13625-9</f>
        <v>13616</v>
      </c>
      <c r="D74" s="65">
        <f t="shared" si="10"/>
        <v>172</v>
      </c>
      <c r="E74" s="63"/>
      <c r="F74" s="63">
        <f>G73</f>
        <v>13027</v>
      </c>
      <c r="G74" s="63">
        <f>13297-11</f>
        <v>13286</v>
      </c>
      <c r="H74" s="65">
        <f t="shared" si="13"/>
        <v>259</v>
      </c>
      <c r="I74" s="63"/>
      <c r="J74" s="63">
        <v>6</v>
      </c>
      <c r="K74" s="63">
        <v>6</v>
      </c>
      <c r="L74" s="65">
        <v>0</v>
      </c>
      <c r="M74" s="63"/>
      <c r="N74" s="63">
        <v>11</v>
      </c>
      <c r="O74" s="63">
        <v>11</v>
      </c>
      <c r="P74" s="65">
        <v>0</v>
      </c>
      <c r="Q74" s="63"/>
    </row>
    <row r="75" spans="1:17" ht="14.5" thickTop="1" x14ac:dyDescent="0.3"/>
    <row r="76" spans="1:17" x14ac:dyDescent="0.3">
      <c r="A76" s="66" t="s">
        <v>103</v>
      </c>
      <c r="B76" s="64"/>
      <c r="C76" s="64"/>
      <c r="D76" s="64"/>
      <c r="E76" s="64"/>
      <c r="J76" s="64"/>
      <c r="K76" s="64"/>
      <c r="L76" s="64"/>
      <c r="M76" s="64"/>
    </row>
    <row r="77" spans="1:17" x14ac:dyDescent="0.3">
      <c r="A77" s="66" t="s">
        <v>160</v>
      </c>
      <c r="B77" s="64"/>
      <c r="C77" s="64"/>
      <c r="D77" s="64"/>
      <c r="E77" s="64"/>
      <c r="J77" s="64"/>
      <c r="K77" s="64"/>
      <c r="L77" s="64"/>
      <c r="M77" s="64"/>
    </row>
    <row r="78" spans="1:17" x14ac:dyDescent="0.3">
      <c r="A78" s="66" t="s">
        <v>159</v>
      </c>
      <c r="B78" s="64"/>
      <c r="C78" s="64"/>
      <c r="D78" s="64"/>
      <c r="E78" s="64"/>
      <c r="J78" s="64"/>
      <c r="K78" s="64"/>
      <c r="L78" s="64"/>
      <c r="M78" s="64"/>
    </row>
    <row r="79" spans="1:17" x14ac:dyDescent="0.3">
      <c r="A79" s="81" t="s">
        <v>75</v>
      </c>
    </row>
    <row r="80" spans="1:17" ht="14.5" thickBot="1" x14ac:dyDescent="0.35">
      <c r="A80" s="61" t="s">
        <v>181</v>
      </c>
      <c r="L80" s="61" t="s">
        <v>182</v>
      </c>
    </row>
    <row r="81" spans="1:20" ht="16.5" customHeight="1" thickTop="1" thickBot="1" x14ac:dyDescent="0.35">
      <c r="A81" s="318" t="s">
        <v>51</v>
      </c>
      <c r="B81" s="313" t="s">
        <v>82</v>
      </c>
      <c r="C81" s="314"/>
      <c r="D81" s="315" t="s">
        <v>64</v>
      </c>
      <c r="E81" s="315" t="s">
        <v>65</v>
      </c>
      <c r="F81" s="313" t="s">
        <v>83</v>
      </c>
      <c r="G81" s="314"/>
      <c r="H81" s="315" t="s">
        <v>64</v>
      </c>
      <c r="I81" s="315" t="s">
        <v>65</v>
      </c>
      <c r="L81" s="318" t="s">
        <v>51</v>
      </c>
      <c r="M81" s="313" t="s">
        <v>82</v>
      </c>
      <c r="N81" s="314"/>
      <c r="O81" s="315" t="s">
        <v>64</v>
      </c>
      <c r="P81" s="315" t="s">
        <v>65</v>
      </c>
      <c r="Q81" s="313" t="s">
        <v>83</v>
      </c>
      <c r="R81" s="314"/>
      <c r="S81" s="315" t="s">
        <v>64</v>
      </c>
      <c r="T81" s="315" t="s">
        <v>65</v>
      </c>
    </row>
    <row r="82" spans="1:20" ht="15" thickTop="1" thickBot="1" x14ac:dyDescent="0.35">
      <c r="A82" s="319"/>
      <c r="B82" s="62" t="s">
        <v>68</v>
      </c>
      <c r="C82" s="62" t="s">
        <v>69</v>
      </c>
      <c r="D82" s="316"/>
      <c r="E82" s="316"/>
      <c r="F82" s="62" t="s">
        <v>68</v>
      </c>
      <c r="G82" s="62" t="s">
        <v>69</v>
      </c>
      <c r="H82" s="316"/>
      <c r="I82" s="316"/>
      <c r="L82" s="319"/>
      <c r="M82" s="62" t="s">
        <v>68</v>
      </c>
      <c r="N82" s="62" t="s">
        <v>69</v>
      </c>
      <c r="O82" s="316"/>
      <c r="P82" s="316"/>
      <c r="Q82" s="62" t="s">
        <v>68</v>
      </c>
      <c r="R82" s="62" t="s">
        <v>69</v>
      </c>
      <c r="S82" s="316"/>
      <c r="T82" s="316"/>
    </row>
    <row r="83" spans="1:20" ht="15" thickTop="1" thickBot="1" x14ac:dyDescent="0.35">
      <c r="A83" s="63" t="s">
        <v>52</v>
      </c>
      <c r="B83" s="63"/>
      <c r="C83" s="63"/>
      <c r="D83" s="65"/>
      <c r="E83" s="63"/>
      <c r="F83" s="63"/>
      <c r="G83" s="63"/>
      <c r="H83" s="65"/>
      <c r="I83" s="63"/>
      <c r="L83" s="63" t="s">
        <v>52</v>
      </c>
      <c r="M83" s="63"/>
      <c r="N83" s="63"/>
      <c r="O83" s="65"/>
      <c r="P83" s="63"/>
      <c r="Q83" s="63"/>
      <c r="R83" s="63"/>
      <c r="S83" s="65"/>
      <c r="T83" s="63"/>
    </row>
    <row r="84" spans="1:20" ht="15" thickTop="1" thickBot="1" x14ac:dyDescent="0.35">
      <c r="A84" s="63" t="s">
        <v>53</v>
      </c>
      <c r="B84" s="63"/>
      <c r="C84" s="63"/>
      <c r="D84" s="65"/>
      <c r="E84" s="63"/>
      <c r="F84" s="63"/>
      <c r="G84" s="63"/>
      <c r="H84" s="65"/>
      <c r="I84" s="63"/>
      <c r="L84" s="63" t="s">
        <v>53</v>
      </c>
      <c r="M84" s="63"/>
      <c r="N84" s="63"/>
      <c r="O84" s="65"/>
      <c r="P84" s="63"/>
      <c r="Q84" s="63"/>
      <c r="R84" s="63"/>
      <c r="S84" s="65"/>
      <c r="T84" s="63"/>
    </row>
    <row r="85" spans="1:20" ht="15" thickTop="1" thickBot="1" x14ac:dyDescent="0.35">
      <c r="A85" s="63" t="s">
        <v>54</v>
      </c>
      <c r="B85" s="63"/>
      <c r="C85" s="63"/>
      <c r="D85" s="65"/>
      <c r="E85" s="63"/>
      <c r="F85" s="63"/>
      <c r="G85" s="63"/>
      <c r="H85" s="65"/>
      <c r="I85" s="63"/>
      <c r="L85" s="63" t="s">
        <v>54</v>
      </c>
      <c r="M85" s="63"/>
      <c r="N85" s="63"/>
      <c r="O85" s="65"/>
      <c r="P85" s="63"/>
      <c r="Q85" s="63"/>
      <c r="R85" s="63"/>
      <c r="S85" s="65"/>
      <c r="T85" s="63"/>
    </row>
    <row r="86" spans="1:20" ht="15" thickTop="1" thickBot="1" x14ac:dyDescent="0.35">
      <c r="A86" s="63" t="s">
        <v>55</v>
      </c>
      <c r="B86" s="63"/>
      <c r="C86" s="63"/>
      <c r="D86" s="65"/>
      <c r="E86" s="63"/>
      <c r="F86" s="63"/>
      <c r="G86" s="63"/>
      <c r="H86" s="65"/>
      <c r="I86" s="63"/>
      <c r="L86" s="63" t="s">
        <v>55</v>
      </c>
      <c r="M86" s="63"/>
      <c r="N86" s="63"/>
      <c r="O86" s="65"/>
      <c r="P86" s="63"/>
      <c r="Q86" s="63"/>
      <c r="R86" s="63"/>
      <c r="S86" s="65"/>
      <c r="T86" s="63"/>
    </row>
    <row r="87" spans="1:20" ht="15" thickTop="1" thickBot="1" x14ac:dyDescent="0.35">
      <c r="A87" s="63" t="s">
        <v>56</v>
      </c>
      <c r="B87" s="63"/>
      <c r="C87" s="63"/>
      <c r="D87" s="65"/>
      <c r="E87" s="63"/>
      <c r="F87" s="63"/>
      <c r="G87" s="63"/>
      <c r="H87" s="65"/>
      <c r="I87" s="63"/>
      <c r="L87" s="63" t="s">
        <v>56</v>
      </c>
      <c r="M87" s="63"/>
      <c r="N87" s="63"/>
      <c r="O87" s="65"/>
      <c r="P87" s="63"/>
      <c r="Q87" s="63"/>
      <c r="R87" s="63"/>
      <c r="S87" s="65"/>
      <c r="T87" s="63"/>
    </row>
    <row r="88" spans="1:20" ht="15" thickTop="1" thickBot="1" x14ac:dyDescent="0.35">
      <c r="A88" s="63" t="s">
        <v>57</v>
      </c>
      <c r="B88" s="63"/>
      <c r="C88" s="63"/>
      <c r="D88" s="65"/>
      <c r="E88" s="63"/>
      <c r="F88" s="63"/>
      <c r="G88" s="63"/>
      <c r="H88" s="65"/>
      <c r="I88" s="63"/>
      <c r="L88" s="63" t="s">
        <v>57</v>
      </c>
      <c r="M88" s="63"/>
      <c r="N88" s="63"/>
      <c r="O88" s="65"/>
      <c r="P88" s="63"/>
      <c r="Q88" s="63"/>
      <c r="R88" s="63"/>
      <c r="S88" s="65"/>
      <c r="T88" s="63"/>
    </row>
    <row r="89" spans="1:20" ht="15" thickTop="1" thickBot="1" x14ac:dyDescent="0.35">
      <c r="A89" s="63" t="s">
        <v>58</v>
      </c>
      <c r="B89" s="63"/>
      <c r="C89" s="63"/>
      <c r="D89" s="65"/>
      <c r="E89" s="63"/>
      <c r="F89" s="63"/>
      <c r="G89" s="63"/>
      <c r="H89" s="65"/>
      <c r="I89" s="63"/>
      <c r="L89" s="63" t="s">
        <v>58</v>
      </c>
      <c r="M89" s="63"/>
      <c r="N89" s="63"/>
      <c r="O89" s="65"/>
      <c r="P89" s="63"/>
      <c r="Q89" s="63"/>
      <c r="R89" s="63"/>
      <c r="S89" s="65"/>
      <c r="T89" s="63"/>
    </row>
    <row r="90" spans="1:20" ht="15" thickTop="1" thickBot="1" x14ac:dyDescent="0.35">
      <c r="A90" s="63" t="s">
        <v>59</v>
      </c>
      <c r="B90" s="63"/>
      <c r="C90" s="63"/>
      <c r="D90" s="65"/>
      <c r="E90" s="63"/>
      <c r="F90" s="63"/>
      <c r="G90" s="63"/>
      <c r="H90" s="65"/>
      <c r="I90" s="63"/>
      <c r="L90" s="63" t="s">
        <v>59</v>
      </c>
      <c r="M90" s="63"/>
      <c r="N90" s="63"/>
      <c r="O90" s="65"/>
      <c r="P90" s="63"/>
      <c r="Q90" s="63"/>
      <c r="R90" s="63"/>
      <c r="S90" s="65"/>
      <c r="T90" s="63"/>
    </row>
    <row r="91" spans="1:20" ht="15" thickTop="1" thickBot="1" x14ac:dyDescent="0.35">
      <c r="A91" s="63" t="s">
        <v>60</v>
      </c>
      <c r="B91" s="170" t="s">
        <v>161</v>
      </c>
      <c r="C91" s="171">
        <v>4117</v>
      </c>
      <c r="D91" s="172">
        <f>C91-B91</f>
        <v>4117</v>
      </c>
      <c r="E91" s="171"/>
      <c r="F91" s="170" t="s">
        <v>161</v>
      </c>
      <c r="G91" s="171">
        <v>2233</v>
      </c>
      <c r="H91" s="65">
        <f>G91-F91</f>
        <v>2233</v>
      </c>
      <c r="I91" s="63"/>
      <c r="L91" s="63" t="s">
        <v>60</v>
      </c>
      <c r="M91" s="170" t="str">
        <f>B91</f>
        <v>0</v>
      </c>
      <c r="N91" s="171">
        <v>6082</v>
      </c>
      <c r="O91" s="172">
        <f>N91-M91</f>
        <v>6082</v>
      </c>
      <c r="P91" s="171"/>
      <c r="Q91" s="170" t="s">
        <v>161</v>
      </c>
      <c r="R91" s="171">
        <v>268</v>
      </c>
      <c r="S91" s="65">
        <f>R91-Q91</f>
        <v>268</v>
      </c>
      <c r="T91" s="63"/>
    </row>
    <row r="92" spans="1:20" ht="15" thickTop="1" thickBot="1" x14ac:dyDescent="0.35">
      <c r="A92" s="63" t="s">
        <v>61</v>
      </c>
      <c r="B92" s="171">
        <f>C91</f>
        <v>4117</v>
      </c>
      <c r="C92" s="171">
        <v>7487</v>
      </c>
      <c r="D92" s="172">
        <f>C92-B92</f>
        <v>3370</v>
      </c>
      <c r="E92" s="171"/>
      <c r="F92" s="171">
        <f>G91</f>
        <v>2233</v>
      </c>
      <c r="G92" s="171">
        <v>4187</v>
      </c>
      <c r="H92" s="65">
        <f>G92-F92</f>
        <v>1954</v>
      </c>
      <c r="I92" s="63"/>
      <c r="L92" s="63" t="s">
        <v>61</v>
      </c>
      <c r="M92" s="171"/>
      <c r="N92" s="171"/>
      <c r="O92" s="172"/>
      <c r="P92" s="171"/>
      <c r="Q92" s="171"/>
      <c r="R92" s="171"/>
      <c r="S92" s="65"/>
      <c r="T92" s="63"/>
    </row>
    <row r="93" spans="1:20" ht="15" thickTop="1" thickBot="1" x14ac:dyDescent="0.35">
      <c r="A93" s="63" t="s">
        <v>62</v>
      </c>
      <c r="B93" s="171">
        <f>C92</f>
        <v>7487</v>
      </c>
      <c r="C93" s="171">
        <f>'Great Eastern General Insura'!C61</f>
        <v>11835</v>
      </c>
      <c r="D93" s="172"/>
      <c r="E93" s="171"/>
      <c r="F93" s="171"/>
      <c r="G93" s="171"/>
      <c r="H93" s="65"/>
      <c r="I93" s="63"/>
      <c r="L93" s="63" t="s">
        <v>62</v>
      </c>
      <c r="M93" s="171"/>
      <c r="N93" s="171"/>
      <c r="O93" s="172"/>
      <c r="P93" s="171"/>
      <c r="Q93" s="171"/>
      <c r="R93" s="171"/>
      <c r="S93" s="65"/>
      <c r="T93" s="63"/>
    </row>
    <row r="94" spans="1:20" ht="15" thickTop="1" thickBot="1" x14ac:dyDescent="0.35">
      <c r="A94" s="63" t="s">
        <v>63</v>
      </c>
      <c r="B94" s="63"/>
      <c r="C94" s="63"/>
      <c r="D94" s="65"/>
      <c r="E94" s="63"/>
      <c r="F94" s="63"/>
      <c r="G94" s="63"/>
      <c r="H94" s="65"/>
      <c r="I94" s="63"/>
      <c r="L94" s="63" t="s">
        <v>63</v>
      </c>
      <c r="M94" s="63"/>
      <c r="N94" s="63"/>
      <c r="O94" s="65"/>
      <c r="P94" s="63"/>
      <c r="Q94" s="63"/>
      <c r="R94" s="63"/>
      <c r="S94" s="65"/>
      <c r="T94" s="63"/>
    </row>
    <row r="95" spans="1:20" ht="14.5" thickTop="1" x14ac:dyDescent="0.3"/>
  </sheetData>
  <mergeCells count="46">
    <mergeCell ref="S81:S82"/>
    <mergeCell ref="T81:T82"/>
    <mergeCell ref="L81:L82"/>
    <mergeCell ref="M81:N81"/>
    <mergeCell ref="O81:O82"/>
    <mergeCell ref="P81:P82"/>
    <mergeCell ref="Q81:R81"/>
    <mergeCell ref="H81:H82"/>
    <mergeCell ref="I81:I82"/>
    <mergeCell ref="A81:A82"/>
    <mergeCell ref="B81:C81"/>
    <mergeCell ref="D81:D82"/>
    <mergeCell ref="E81:E82"/>
    <mergeCell ref="F81:G81"/>
    <mergeCell ref="E41:E42"/>
    <mergeCell ref="H4:H5"/>
    <mergeCell ref="F4:G4"/>
    <mergeCell ref="E4:E5"/>
    <mergeCell ref="F23:G23"/>
    <mergeCell ref="E23:E24"/>
    <mergeCell ref="H23:H24"/>
    <mergeCell ref="B4:C4"/>
    <mergeCell ref="D4:D5"/>
    <mergeCell ref="A41:A42"/>
    <mergeCell ref="B41:C41"/>
    <mergeCell ref="D41:D42"/>
    <mergeCell ref="A4:A5"/>
    <mergeCell ref="A23:A24"/>
    <mergeCell ref="B23:C23"/>
    <mergeCell ref="D23:D24"/>
    <mergeCell ref="H61:H62"/>
    <mergeCell ref="I61:I62"/>
    <mergeCell ref="A61:A62"/>
    <mergeCell ref="B61:C61"/>
    <mergeCell ref="D61:D62"/>
    <mergeCell ref="E61:E62"/>
    <mergeCell ref="F61:G61"/>
    <mergeCell ref="N61:O61"/>
    <mergeCell ref="P61:P62"/>
    <mergeCell ref="Q61:Q62"/>
    <mergeCell ref="J41:K41"/>
    <mergeCell ref="L41:L42"/>
    <mergeCell ref="M41:M42"/>
    <mergeCell ref="J61:K61"/>
    <mergeCell ref="L61:L62"/>
    <mergeCell ref="M61:M62"/>
  </mergeCells>
  <phoneticPr fontId="39" type="noConversion"/>
  <pageMargins left="0.7" right="0.7" top="0.75" bottom="0.75" header="0.3" footer="0.3"/>
  <pageSetup scale="67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Invoice Bag. Umum</vt:lpstr>
      <vt:lpstr>Invoice Setdako</vt:lpstr>
      <vt:lpstr>INVOICE RENTAL PT. BARELANG RIA</vt:lpstr>
      <vt:lpstr>Invoice Atlas Copco</vt:lpstr>
      <vt:lpstr>Great Eastern General Insura</vt:lpstr>
      <vt:lpstr>Meterading 2025</vt:lpstr>
      <vt:lpstr>'Great Eastern General Insura'!Print_Area</vt:lpstr>
      <vt:lpstr>'Invoice Atlas Copco'!Print_Area</vt:lpstr>
      <vt:lpstr>'Invoice Bag. Umum'!Print_Area</vt:lpstr>
      <vt:lpstr>'INVOICE RENTAL PT. BARELANG RIA'!Print_Area</vt:lpstr>
      <vt:lpstr>'Invoice Setdako'!Print_Area</vt:lpstr>
      <vt:lpstr>'Meterading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Grace BiAS</cp:lastModifiedBy>
  <cp:lastPrinted>2026-01-20T03:00:41Z</cp:lastPrinted>
  <dcterms:created xsi:type="dcterms:W3CDTF">2022-02-08T10:30:53Z</dcterms:created>
  <dcterms:modified xsi:type="dcterms:W3CDTF">2026-02-11T03:30:19Z</dcterms:modified>
</cp:coreProperties>
</file>